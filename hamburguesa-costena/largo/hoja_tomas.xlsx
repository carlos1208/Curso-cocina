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 generar" sheetId="1" r:id="rId4"/>
    <sheet state="visible" name="Tomas" sheetId="2" r:id="rId5"/>
    <sheet state="visible" name="Subtítulos" sheetId="3" r:id="rId6"/>
    <sheet state="visible" name="Guía" sheetId="4" r:id="rId7"/>
  </sheets>
  <definedNames/>
  <calcPr/>
</workbook>
</file>

<file path=xl/sharedStrings.xml><?xml version="1.0" encoding="utf-8"?>
<sst xmlns="http://schemas.openxmlformats.org/spreadsheetml/2006/main" count="443" uniqueCount="274">
  <si>
    <t>Orden</t>
  </si>
  <si>
    <t>ID</t>
  </si>
  <si>
    <t>Tipo</t>
  </si>
  <si>
    <t>Se usa en</t>
  </si>
  <si>
    <t>Escena</t>
  </si>
  <si>
    <t>Prompt de imagen completo</t>
  </si>
  <si>
    <t>Prompt de animación completo</t>
  </si>
  <si>
    <t>Imagen</t>
  </si>
  <si>
    <t>Clip</t>
  </si>
  <si>
    <t>N04</t>
  </si>
  <si>
    <t>Nueva animada</t>
  </si>
  <si>
    <t>S07, S08</t>
  </si>
  <si>
    <t>45-degree view into a cast-iron dutch oven with finely chopped onion sweating in a shallow layer of oil, translucent and pale with no browning, a wooden spoon resting in the pot.</t>
  </si>
  <si>
    <t>Lista</t>
  </si>
  <si>
    <t>Pendiente</t>
  </si>
  <si>
    <t>N05</t>
  </si>
  <si>
    <t>S09</t>
  </si>
  <si>
    <t>45-degree view into the dutch oven: chopped red tomato just added on top of the translucent onion, bright red chunks starting to release juice, a wooden spoon mid-pot.</t>
  </si>
  <si>
    <t>N06</t>
  </si>
  <si>
    <t>S10</t>
  </si>
  <si>
    <t>45-degree view into the dutch oven: the tomato and onion mixture halfway reduced, thick and dark red, spoon marks visible, small bubbles at the edges and a slight sugary sheen.</t>
  </si>
  <si>
    <t>N07</t>
  </si>
  <si>
    <t>S11</t>
  </si>
  <si>
    <t>Close-up of the dutch oven surface: thick glossy dark-red tomato-onion jam with a clean channel left by a wooden spoon dragged through it, the channel holding open, sticky sheen.</t>
  </si>
  <si>
    <t>N08</t>
  </si>
  <si>
    <t>S13</t>
  </si>
  <si>
    <t>Overhead close-up of a ceramic bowl with separate unmixed dollops: white suero costeño, white mayonnaise and a small heap of very finely minced sweet ají dulce, a wooden spoon resting in the bowl, a lime half beside it.</t>
  </si>
  <si>
    <t>N11</t>
  </si>
  <si>
    <t>S18</t>
  </si>
  <si>
    <t>Close-up of raw ground beef in a wide bowl with orange smoked paprika and pale spices lightly scattered on top, a fork gently folding the meat, loose airy texture, not compacted.</t>
  </si>
  <si>
    <t>N14</t>
  </si>
  <si>
    <t>S26</t>
  </si>
  <si>
    <t>Two brioche bun halves toasting cut-side down on a hot griddle, golden brown, a thin film of beef fat around them, light steam.</t>
  </si>
  <si>
    <t>N15</t>
  </si>
  <si>
    <t>S27</t>
  </si>
  <si>
    <t>Side view of a burger under construction on a wooden board: bottom brioche with white sauce, beef patty, dark-golden crusted costeño cheese, fried plantain slices, and a wooden spoon resting on top after placing a glossy dollop of red tomato-onion jam.</t>
  </si>
  <si>
    <t>N16</t>
  </si>
  <si>
    <t>S02, S28</t>
  </si>
  <si>
    <t>Burger cut in half on a wooden board, two halves showing every layer: white sauce, patty, crusted cheese, plantain, glossy hogao and toasted brioche, steam rising, slight 30-degree angle.</t>
  </si>
  <si>
    <t>N01</t>
  </si>
  <si>
    <t>Nueva fija</t>
  </si>
  <si>
    <t>S03, S06</t>
  </si>
  <si>
    <t>Overhead 90-degree mise en place on the countertop: 600 g of raw ground beef in a bowl, four brioche buns, costeño cheese slices, two ripe plantains, tomatoes, chopped onion, small jars of suero costeño and mayonnaise, sweet ají dulce peppers and a lime half, each in its own bowl or on its own board, neatly arranged.</t>
  </si>
  <si>
    <t>— (zoom en el editor)</t>
  </si>
  <si>
    <t>No aplica</t>
  </si>
  <si>
    <t>N02</t>
  </si>
  <si>
    <t>S04</t>
  </si>
  <si>
    <t>Close-up at 30 degrees of white costeño cheese slices fanned on a small wooden board next to two ripe plantains with black-spotted yellow skin, a knife resting nearby.</t>
  </si>
  <si>
    <t>N03</t>
  </si>
  <si>
    <t>S05</t>
  </si>
  <si>
    <t>Close-up of ripe red chonto tomatoes and a halved white onion on a wooden board, a few whole tomatoes behind, white tile wall softly blurred.</t>
  </si>
  <si>
    <t>N09</t>
  </si>
  <si>
    <t>S15</t>
  </si>
  <si>
    <t>The same ceramic bowl of white sauce now covered tightly with clear cling film on the countertop, a small wooden spoon beside it, calm still composition.</t>
  </si>
  <si>
    <t>N10</t>
  </si>
  <si>
    <t>S16, S19</t>
  </si>
  <si>
    <t>Overhead of three small bowls with garlic powder, onion powder and orange smoked paprika, each with a small measuring spoon, beside a bowl of raw ground beef; a separate small dish with coarse salt and black pepper placed apart at the edge of the frame.</t>
  </si>
  <si>
    <t>N12</t>
  </si>
  <si>
    <t>S23</t>
  </si>
  <si>
    <t>Wide 30-degree view of an empty very hot cast-iron griddle on the dark wood counter, a thin wisp of smoke rising from its surface, a raw beef ball on parchment paper resting just beside it.</t>
  </si>
  <si>
    <t>N13</t>
  </si>
  <si>
    <t>S25</t>
  </si>
  <si>
    <t>Three smash patties resting on a warm white plate, deep brown lacy crust edges, glistening fat, light steam rising.</t>
  </si>
  <si>
    <t>#</t>
  </si>
  <si>
    <t>Inicio (s)</t>
  </si>
  <si>
    <t>Fin (s)</t>
  </si>
  <si>
    <t>Dur. (s)</t>
  </si>
  <si>
    <t>Inicio (m:ss)</t>
  </si>
  <si>
    <t>Sección</t>
  </si>
  <si>
    <t>Narración (audio real)</t>
  </si>
  <si>
    <t>Origen</t>
  </si>
  <si>
    <t>Clip / imagen</t>
  </si>
  <si>
    <t>Tramo a usar</t>
  </si>
  <si>
    <t>Ajuste en el editor</t>
  </si>
  <si>
    <t>Estado</t>
  </si>
  <si>
    <t>Nota</t>
  </si>
  <si>
    <t>S01</t>
  </si>
  <si>
    <t>Gancho</t>
  </si>
  <si>
    <t>Hoy hacemos una hamburguesa con sabor de la Costa: hogao caramelizado, queso costeño frito, plátano maduro y salsa de suero.</t>
  </si>
  <si>
    <t>Reutilizar</t>
  </si>
  <si>
    <t>C6 · armado</t>
  </si>
  <si>
    <t>Clip completo</t>
  </si>
  <si>
    <t>Clip listo</t>
  </si>
  <si>
    <t>S02</t>
  </si>
  <si>
    <t>Dulce, salado y ácido en cada mordisco.</t>
  </si>
  <si>
    <t>Primeros 3,6 s del clip</t>
  </si>
  <si>
    <t>Por generar</t>
  </si>
  <si>
    <t>El corte transversal ilustra 'en cada mordisco'. El resto del clip se usa en S28.</t>
  </si>
  <si>
    <t>S03</t>
  </si>
  <si>
    <t>Ingredientes</t>
  </si>
  <si>
    <t>Para cuatro hamburguesas: seiscientos gramos de carne molida de res ochenta sobre veinte, cuatro</t>
  </si>
  <si>
    <t>Imagen completa</t>
  </si>
  <si>
    <t>Texto: 600 g carne 80/20 · 4 panes brioche.</t>
  </si>
  <si>
    <t>panes brioche, doscientos gramos de queso costeño y dos plátanos maduros.</t>
  </si>
  <si>
    <t>Texto: 200 g queso costeño · 2 plátanos maduros.</t>
  </si>
  <si>
    <t>Para el hogao, trescientos gramos de tomate y ciento cincuenta de cebolla.</t>
  </si>
  <si>
    <t>Texto: 300 g tomate · 150 g cebolla.</t>
  </si>
  <si>
    <t>S06</t>
  </si>
  <si>
    <t>Para la salsa, sesenta gramos de suero costeño, sesenta de mayonesa y ají dulce.</t>
  </si>
  <si>
    <t>N01 (zoom a los frascos)</t>
  </si>
  <si>
    <t>Zoom a suero, mayonesa y ají</t>
  </si>
  <si>
    <t>Reutiliza la imagen N01 con zoom; no hay que generar nada. Texto: 60 g suero · 60 g mayonesa · ají dulce.</t>
  </si>
  <si>
    <t>S07</t>
  </si>
  <si>
    <t>Hogao</t>
  </si>
  <si>
    <t>Empezamos por el hogao, que es lo que más tarda. Calienta una cucharada de aceite a fuego medio-bajo y sofríe la cebolla con una pizca de sal.</t>
  </si>
  <si>
    <t>Texto: fuego medio-bajo.</t>
  </si>
  <si>
    <t>S08</t>
  </si>
  <si>
    <t>Tres minutos, hasta que esté transparente. Que no se dore.</t>
  </si>
  <si>
    <t>N04 (zoom 120 %)</t>
  </si>
  <si>
    <t>Últimos 4,3 s del clip con zoom</t>
  </si>
  <si>
    <t>Texto: 3 min.</t>
  </si>
  <si>
    <t>Agrega el tomate y cocina a fuego bajo, moviendo de vez en cuando. Son unos veinticinco minutos.</t>
  </si>
  <si>
    <t>Primeros 6,4 s</t>
  </si>
  <si>
    <t>Texto: ~25 min a fuego bajo.</t>
  </si>
  <si>
    <t>Si se pega, échale un chorrito de agua. Al final, dos cucharadas de azúcar y una de vinagre.</t>
  </si>
  <si>
    <t>Primeros 6,6 s</t>
  </si>
  <si>
    <t>Texto: 2 cda azúcar + 1 cda vinagre.</t>
  </si>
  <si>
    <t>Está listo cuando pasas la cuchara y el surco no se cierra enseguida.</t>
  </si>
  <si>
    <t>Primeros 3,9 s</t>
  </si>
  <si>
    <t>Texto: el surco no se cierra.</t>
  </si>
  <si>
    <t>S12</t>
  </si>
  <si>
    <t>Debe verse brillante, casi como una mermelada.</t>
  </si>
  <si>
    <t>C1 · hogao</t>
  </si>
  <si>
    <t>Primeros 3,5 s</t>
  </si>
  <si>
    <t>Salsa</t>
  </si>
  <si>
    <t>Ahora, la salsa. Mezcla el suero, la mayonesa, una cucharada de ají dulce picado muy fino y una cucharadita de jugo de limón.</t>
  </si>
  <si>
    <t>Texto: 1 cda ají dulce · 1 cdta limón.</t>
  </si>
  <si>
    <t>S14</t>
  </si>
  <si>
    <t>Prueba antes de agregar sal. El suero costeño ya es salado.</t>
  </si>
  <si>
    <t>C2 · salsa</t>
  </si>
  <si>
    <t>Primeros 4,2 s</t>
  </si>
  <si>
    <t>Déjala treinta minutos en la nevera para que los sabores se integren.</t>
  </si>
  <si>
    <t>Texto: 30 min en nevera.</t>
  </si>
  <si>
    <t>S16</t>
  </si>
  <si>
    <t>Carne</t>
  </si>
  <si>
    <t>Ahora la carne. No mezcles la sal con la carne: la vuelve compacta, con textura de salchicha,</t>
  </si>
  <si>
    <t>Texto: la sal va por fuera.</t>
  </si>
  <si>
    <t>S17</t>
  </si>
  <si>
    <t>y en un smash eso se nota.</t>
  </si>
  <si>
    <t>C5 · smash (panel del aplaste)</t>
  </si>
  <si>
    <t>Panel izquierdo con zoom, 3,1 s</t>
  </si>
  <si>
    <t>Adelanto visual del smash.</t>
  </si>
  <si>
    <t>Lo que sí puedes mezclar, suavemente, es media cucharadita de ajo en polvo, media</t>
  </si>
  <si>
    <t>Primeros 6,0 s</t>
  </si>
  <si>
    <t>Texto: ½ cdta ajo en polvo.</t>
  </si>
  <si>
    <t>S19</t>
  </si>
  <si>
    <t>de cebolla en polvo y media de pimentón ahumado para los seiscientos gramos.</t>
  </si>
  <si>
    <t>N10 (zoom al pimentón)</t>
  </si>
  <si>
    <t>Zoom lento al bowl de pimentón</t>
  </si>
  <si>
    <t>Reutiliza la imagen N10. Texto: ½ cdta cebolla en polvo · ½ cdta pimentón ahumado.</t>
  </si>
  <si>
    <t>S20</t>
  </si>
  <si>
    <t>Forma cuatro bolas de ciento cincuenta gramos, sin apretar. La sal y la pimienta van por fuera, justo antes de cocinar.</t>
  </si>
  <si>
    <t>C4 · bolas de carne</t>
  </si>
  <si>
    <t>Texto: 4 × 150 g.</t>
  </si>
  <si>
    <t>S21</t>
  </si>
  <si>
    <t>Plátano, queso y smash</t>
  </si>
  <si>
    <t>Fríe el plátano hasta que dore, dos minutos por lado, y resérvalo.</t>
  </si>
  <si>
    <t>C3 · plátano y queso (panel del plátano)</t>
  </si>
  <si>
    <t>Panel izquierdo con zoom, 4,6 s</t>
  </si>
  <si>
    <t>Texto: 2 min por lado.</t>
  </si>
  <si>
    <t>S22</t>
  </si>
  <si>
    <t>Luego el queso, un minuto por lado, hasta que haga costra.</t>
  </si>
  <si>
    <t>C3 · plátano y queso (panel del queso)</t>
  </si>
  <si>
    <t>Panel derecho con zoom, 3,7 s</t>
  </si>
  <si>
    <t>Texto: 1 min por lado.</t>
  </si>
  <si>
    <t>Ahora, la plancha muy caliente.</t>
  </si>
  <si>
    <t>Toma corta (2,4 s): por eso quedó como imagen fija.</t>
  </si>
  <si>
    <t>S24</t>
  </si>
  <si>
    <t>Pon una bola y aplástala de una sola vez hasta un centímetro. No la vuelvas a presionar. Salpimienta.</t>
  </si>
  <si>
    <t>C5 · smash</t>
  </si>
  <si>
    <t>Primeros 6,8 s</t>
  </si>
  <si>
    <t>Texto: una sola vez · 1 cm.</t>
  </si>
  <si>
    <t>Dos minutos, voltea y un minuto más.</t>
  </si>
  <si>
    <t>Texto: 2 min + 1 min.</t>
  </si>
  <si>
    <t>Armado</t>
  </si>
  <si>
    <t>A armar. Tuesta el pan en la grasa de la plancha.</t>
  </si>
  <si>
    <t>Abajo, la salsa de suero. Encima, la carne, el queso frito y el plátano. Termina con una cucharada generosa de hogao.</t>
  </si>
  <si>
    <t>Texto: salsa → carne → queso → plátano → hogao.</t>
  </si>
  <si>
    <t>S28</t>
  </si>
  <si>
    <t>Sírvela caliente, mientras el queso conserva la costra.</t>
  </si>
  <si>
    <t>Desde 4,0 s hasta 7,9 s</t>
  </si>
  <si>
    <t>Segunda mitad del clip N16 (la primera va en S02).</t>
  </si>
  <si>
    <t>S29</t>
  </si>
  <si>
    <t>Cierre</t>
  </si>
  <si>
    <t>Si te sirvió, suscríbete. En el próximo video… y dime en los comentarios si te gustaría explorar otra versión.</t>
  </si>
  <si>
    <t>Últimos 6,7 s</t>
  </si>
  <si>
    <t>Agrega la pantalla final de suscripción.</t>
  </si>
  <si>
    <t>Total</t>
  </si>
  <si>
    <t>Texto del subtítulo (leído del video, sin tildes)</t>
  </si>
  <si>
    <t>HOY HACEMOS UNA HAMBURGUESA CON SABOR DE LA COSTA: HOGAO</t>
  </si>
  <si>
    <t>CARAMELIZADO, QUESO COSTENO FRITO,</t>
  </si>
  <si>
    <t>PLATANO MADURO Y SALSA DE SUERO.</t>
  </si>
  <si>
    <t>DULCE, SALADO Y ACIDO EN CADA MORDISCO.</t>
  </si>
  <si>
    <t>PARA CUATRO HAMBURGUESAS, SEISCIENTOS GRAMOS DE CARNE</t>
  </si>
  <si>
    <t>MOLIDA DE RES OCHENTA SOBRE VEINTE, CUATRO</t>
  </si>
  <si>
    <t>PANES BRIOCHE, DOSCIENTOS GRAMOS DE QUESO COSTENO Y DOS</t>
  </si>
  <si>
    <t>PLATANOS MADUROS.</t>
  </si>
  <si>
    <t>PARA EL HOGAO, TRESCIENTOS GRAMOS DE TOMATE Y CIENTO</t>
  </si>
  <si>
    <t>CINCUENTA DE CEBOLLA.</t>
  </si>
  <si>
    <t>PARA LA SALSA, SESENTA GRAMOS DE SUERO COSTENO, SESENTA DE</t>
  </si>
  <si>
    <t>MAYONESA Y AJI DULCE.</t>
  </si>
  <si>
    <t>EMPEZAMOS POR EL HOGAOO, QUE ES LO QUE MAS TARDA.</t>
  </si>
  <si>
    <t>CALIENTA UNA CUCHARADA DE ACEITE A FUEGO MEDIO BAJO Y SOFRIE LA</t>
  </si>
  <si>
    <t>CEBOLLA CON</t>
  </si>
  <si>
    <t>UNA PIZCA DE SAL.</t>
  </si>
  <si>
    <t>TRES MINUTOS HASTA QUE ESTE TRANSPARENTE, QUE NO SE DORE.</t>
  </si>
  <si>
    <t>AGREGA EL TOMATE Y COCINA A FUEGO BAJO, MOVIENDO DE VEZ EN</t>
  </si>
  <si>
    <t>CUANDO.</t>
  </si>
  <si>
    <t>SON UNOS VEINTICINCO MINUTOS.</t>
  </si>
  <si>
    <t>SI SE PEGA, ECHALE UN CHORRITO DE AGUA.</t>
  </si>
  <si>
    <t>AL FINAL, DOS CUCHARADAS DE AZUCAR Y UNA DE VINAGRE.</t>
  </si>
  <si>
    <t>ESTA LISTO CUANDO PASAS LA CUCHARA Y EL SURCO NO SE CIERRA</t>
  </si>
  <si>
    <t>ENSEGUIDA.</t>
  </si>
  <si>
    <t>DEBE VERSE BRILLANTE, CAS! COMO UNA MERMELADA.</t>
  </si>
  <si>
    <t>AHORA, LA SALSA.</t>
  </si>
  <si>
    <t>MEZCLA EL SUERO, LA MAYONESA, UNA CUCHARADA DE AJI DULCE</t>
  </si>
  <si>
    <t>PICADO MUY FINO Y</t>
  </si>
  <si>
    <t>UNA CUCHARADITA DE JUGO DE LIMON.</t>
  </si>
  <si>
    <t>PRUEBA ANTES DE AGREGAR SAL.</t>
  </si>
  <si>
    <t>EL SUERO COSTENO YA ES SALADO.</t>
  </si>
  <si>
    <t>DEJALA TREINTA MINUTOS EN LA NEVERA PARA QUE LOS SABORES SE</t>
  </si>
  <si>
    <t>INTEGREN.</t>
  </si>
  <si>
    <t>AHORA LA CARNE.</t>
  </si>
  <si>
    <t>NO MEZCLES LA SAL CON LA CARNE, LA VUELVE COMPACTA, CON TEXTURA</t>
  </si>
  <si>
    <t>DE SALCHICHA,</t>
  </si>
  <si>
    <t>Y EN UN SMASH ESO SE NOTA.</t>
  </si>
  <si>
    <t>LO QUE Si PUEDES MEZCLAR SUAVEMENTE ES MEDIA CUCHARADITA</t>
  </si>
  <si>
    <t>DE AJO EN POLVO, MEDIA</t>
  </si>
  <si>
    <t>DE CEBOLLA EN POLVO Y MEDIA DE PIMENTON AHUMADO PARA LOS</t>
  </si>
  <si>
    <t>SEISCIENTOS GRAMOS.</t>
  </si>
  <si>
    <t>FORMA CUATRO BOLAS DE CIENTO CINCUENTA GRAMOS SIN APRETAR.</t>
  </si>
  <si>
    <t>LA SAL Y LA PIMIENTA VAN POR FUERA JUSTO ANTES DE COCINAR.</t>
  </si>
  <si>
    <t>FRIE EL PLATANO HASTA QUE DORE, DOS MINUTOS POR LADO Y</t>
  </si>
  <si>
    <t>RESERVALO.</t>
  </si>
  <si>
    <t>LUEGO EL QUESO, UN MINUTO POR LADO HASTA QUE HAGA COSTRA.</t>
  </si>
  <si>
    <t>AHORA LA PLANCHA MUY CALIENTE.</t>
  </si>
  <si>
    <t>PON UNA BOLA Y APLASTALA DE UNA SOLA VEZ HASTA UN CENTIMETRO.</t>
  </si>
  <si>
    <t>NO LA VUELVAS A PRESIONAR.</t>
  </si>
  <si>
    <t>SALPIMIENTA.</t>
  </si>
  <si>
    <t>DOS MINUTOS, VOLTEA Y UN MINUTO MAS.</t>
  </si>
  <si>
    <t>A ARMAR.</t>
  </si>
  <si>
    <t>TUESTA EL PAN EN LA GRASA DE LA PLANCHA.</t>
  </si>
  <si>
    <t>ABAJO, LA SALSA DE SUERO.</t>
  </si>
  <si>
    <t>ENCIMA, LA CARNE, EL QUESO FRITO Y EL PLATANO.</t>
  </si>
  <si>
    <t>TERMINA CON UNA CUCHARADA GENEROSA DE OGAU.</t>
  </si>
  <si>
    <t>SIRVELA CALIENTE MIENTRAS EL QUESO CONSERVA LA COSTRA.</t>
  </si>
  <si>
    <t>SI TE SIRVIO, SUSCRIBETE.</t>
  </si>
  <si>
    <t>EN EL PROXIMO VIDEO Y DIME EN LOS COMENTARIOS SI TE GUSTARIA</t>
  </si>
  <si>
    <t>EXPLORAR OTRA</t>
  </si>
  <si>
    <t>VERSION.</t>
  </si>
  <si>
    <t>Guía · Hamburguesa Costeña (video largo, audio de 2:37)</t>
  </si>
  <si>
    <t>Bloque base (se añade a todos los prompts de imagen)</t>
  </si>
  <si>
    <t>Same kitchen set: dark wood countertop, white matte tile wall, cast-iron dutch oven and wooden utensils as recurring props, warm lateral light 3500K, soft shadows, shallow depth of field, 16:9, photorealistic food photography, no hands, no people, no text, no logos.</t>
  </si>
  <si>
    <t>Prefijo del prompt de animación</t>
  </si>
  <si>
    <t xml:space="preserve">Subtle cinematic motion from the still image. Camera: </t>
  </si>
  <si>
    <t>Cierre del prompt de animación</t>
  </si>
  <si>
    <t>Warm light stays constant. Natural food physics, no cuts, no hands, no text, no people.</t>
  </si>
  <si>
    <t>Duración del audio de ElevenLabs (s)</t>
  </si>
  <si>
    <t>Resumen</t>
  </si>
  <si>
    <t>Tomas totales</t>
  </si>
  <si>
    <t>Tomas que reutilizan material (clips o imágenes)</t>
  </si>
  <si>
    <t>Imágenes nuevas por generar</t>
  </si>
  <si>
    <t>…de ellas, clips nuevos por animar en Flow</t>
  </si>
  <si>
    <t>…de ellas, solo imagen fija</t>
  </si>
  <si>
    <t>Suma de tomas (s)</t>
  </si>
  <si>
    <t>Diferencia con el audio (s), debe ser 0</t>
  </si>
  <si>
    <t>Imágenes listas</t>
  </si>
  <si>
    <t>Clips nuevos listos</t>
  </si>
  <si>
    <t>Cómo usar</t>
  </si>
  <si>
    <t>Los cortes caen en las pausas reales del audio: cada toma empieza cuando arranca su subtítulo. Si mueves un corte, cambia solo la columna Inicio (s); el Fin y la duración se recalculan.</t>
  </si>
  <si>
    <t>Genera en el orden de la hoja 'Por generar': primero los 9 clips animados (N04 a N16), luego las 7 imágenes fijas. Marca Imagen y Clip como 'Lista' a medida que avances.</t>
  </si>
  <si>
    <t>Las 7 imágenes fijas no pasan por Flow: en el editor les pones zoom lento de 5 % y ahorras créditos.</t>
  </si>
  <si>
    <t>El video que exportaste es vertical (1080 × 1920). Para YouTube cambia el proyecto de ElevenLabs a 16:9 antes de montar los clips; los tiempos de esta hoja no cambian.</t>
  </si>
  <si>
    <t>Corrige en ElevenLabs dos subtítulos: 'HOGAOO' (0:34) y 'OGAU' (2:24) deben decir 'HOGAO'.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</si>
</sst>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1.0"/>
      <color/>
      <name val="Arial"/>
      <scheme val="minor"/>
    </font>
    <font>
      <b/>
      <sz val="10.0"/>
      <color rgb="FFFFFFFF"/>
      <name val="Arial"/>
    </font>
    <font>
      <sz val="10.0"/>
      <name val="Arial"/>
    </font>
    <font>
      <sz val="10.0"/>
      <color rgb="FF0000FF"/>
      <name val="Arial"/>
    </font>
    <font>
      <b/>
      <sz val="10.0"/>
      <name val="Arial"/>
    </font>
    <font>
      <b/>
      <sz val="14.0"/>
      <name val="Arial"/>
    </font>
  </fonts>
  <fills count="3">
    <fill>
      <patternFill patternType="none"/>
    </fill>
    <fill>
      <patternFill patternType="lightGray"/>
    </fill>
    <fill>
      <patternFill patternType="solid">
        <fgColor rgb="FF1F3A5F"/>
        <bgColor rgb="FF1F3A5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0" fontId="2"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3" numFmtId="164" xfId="0" applyAlignment="1" applyBorder="1" applyFont="1" applyNumberFormat="1">
      <alignment shrinkToFit="0" vertical="top" wrapText="1"/>
    </xf>
    <xf borderId="1" fillId="0" fontId="2" numFmtId="164" xfId="0" applyAlignment="1" applyBorder="1" applyFont="1" applyNumberFormat="1">
      <alignment shrinkToFit="0" vertical="top" wrapText="1"/>
    </xf>
    <xf borderId="0" fillId="0" fontId="4" numFmtId="0" xfId="0" applyAlignment="1" applyFont="1">
      <alignment shrinkToFit="0" vertical="bottom" wrapText="0"/>
    </xf>
    <xf borderId="0" fillId="0" fontId="4" numFmtId="164" xfId="0" applyAlignment="1" applyFont="1" applyNumberFormat="1">
      <alignment shrinkToFit="0" vertical="bottom" wrapText="0"/>
    </xf>
    <xf borderId="1" fillId="0" fontId="2" numFmtId="164" xfId="0" applyAlignment="1" applyBorder="1" applyFont="1" applyNumberFormat="1">
      <alignment shrinkToFit="0" vertical="bottom" wrapText="0"/>
    </xf>
    <xf borderId="1" fillId="0" fontId="2" numFmtId="0" xfId="0" applyAlignment="1" applyBorder="1" applyFont="1">
      <alignment shrinkToFit="0" vertical="bottom" wrapText="0"/>
    </xf>
    <xf borderId="0" fillId="0" fontId="5" numFmtId="0" xfId="0" applyAlignment="1" applyFont="1">
      <alignment shrinkToFit="0" vertical="bottom" wrapText="0"/>
    </xf>
    <xf borderId="0" fillId="0" fontId="4"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horizontal="left" shrinkToFit="0" vertical="bottom" wrapText="0"/>
    </xf>
    <xf borderId="0" fillId="0" fontId="2" numFmtId="0" xfId="0" applyAlignment="1" applyFont="1">
      <alignment shrinkToFit="0" vertical="bottom" wrapText="0"/>
    </xf>
    <xf borderId="0" fillId="0" fontId="2" numFmtId="0" xfId="0" applyAlignment="1" applyFont="1">
      <alignment horizontal="left" shrinkToFit="0" vertical="bottom" wrapText="0"/>
    </xf>
    <xf borderId="0" fillId="0" fontId="2" numFmtId="164" xfId="0" applyAlignment="1" applyFont="1" applyNumberFormat="1">
      <alignment horizontal="left" shrinkToFit="0" vertical="bottom" wrapText="0"/>
    </xf>
  </cellXfs>
  <cellStyles count="1">
    <cellStyle xfId="0" name="Normal" builtinId="0"/>
  </cellStyles>
  <dxfs count="3">
    <dxf>
      <font/>
      <fill>
        <patternFill patternType="solid">
          <fgColor rgb="FFE2EFDA"/>
          <bgColor rgb="FFE2EFDA"/>
        </patternFill>
      </fill>
      <border/>
    </dxf>
    <dxf>
      <font/>
      <fill>
        <patternFill patternType="solid">
          <fgColor rgb="FFC6E0B4"/>
          <bgColor rgb="FFC6E0B4"/>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0"/>
    <col customWidth="1" min="2" max="2" width="6.0"/>
    <col customWidth="1" min="3" max="3" width="14.0"/>
    <col customWidth="1" min="4" max="4" width="18.0"/>
    <col customWidth="1" min="5" max="5" width="48.0"/>
    <col customWidth="1" min="6" max="7" width="62.0"/>
    <col customWidth="1" min="8" max="9" width="13.0"/>
    <col customWidth="1" min="10" max="11" width="8.71"/>
  </cols>
  <sheetData>
    <row r="1" ht="31.5" customHeight="1">
      <c r="A1" s="1" t="s">
        <v>0</v>
      </c>
      <c r="B1" s="1" t="s">
        <v>1</v>
      </c>
      <c r="C1" s="1" t="s">
        <v>2</v>
      </c>
      <c r="D1" s="1" t="s">
        <v>3</v>
      </c>
      <c r="E1" s="1" t="s">
        <v>4</v>
      </c>
      <c r="F1" s="1" t="s">
        <v>5</v>
      </c>
      <c r="G1" s="1" t="s">
        <v>6</v>
      </c>
      <c r="H1" s="1" t="s">
        <v>7</v>
      </c>
      <c r="I1" s="1" t="s">
        <v>8</v>
      </c>
    </row>
    <row r="2" ht="109.5" customHeight="1">
      <c r="A2" s="2">
        <v>1.0</v>
      </c>
      <c r="B2" s="2" t="s">
        <v>9</v>
      </c>
      <c r="C2" s="2" t="s">
        <v>10</v>
      </c>
      <c r="D2" s="2" t="s">
        <v>11</v>
      </c>
      <c r="E2" s="2" t="s">
        <v>12</v>
      </c>
      <c r="F2" s="2" t="str">
        <f>E2&amp;" "&amp;'Guía'!$B$3</f>
        <v>45-degree view into a cast-iron dutch oven with finely chopped onion sweating in a shallow layer of oil, translucent and pale with no browning, a wooden spoon resting in the pot. Same kitchen set: dark wood countertop, white matte tile wall, cast-iron dutch oven and wooden utensils as recurring props, warm lateral light 3500K, soft shadows, shallow depth of field, 16:9, photorealistic food photography, no hands, no people, no text, no logos.</v>
      </c>
      <c r="G2" s="2" t="str">
        <f>'Guía'!$B$4&amp;"locked-off with a very slow push-in of about 5%. Small ripples in the oil and light steam rise, the onion softens slightly, the spoon stirs once slowly. "&amp;'Guía'!$B$5</f>
        <v>Subtle cinematic motion from the still image. Camera: locked-off with a very slow push-in of about 5%. Small ripples in the oil and light steam rise, the onion softens slightly, the spoon stirs once slowly. Warm light stays constant. Natural food physics, no cuts, no hands, no text, no people.</v>
      </c>
      <c r="H2" s="3" t="s">
        <v>13</v>
      </c>
      <c r="I2" s="4" t="s">
        <v>14</v>
      </c>
    </row>
    <row r="3" ht="109.5" customHeight="1">
      <c r="A3" s="2">
        <v>2.0</v>
      </c>
      <c r="B3" s="2" t="s">
        <v>15</v>
      </c>
      <c r="C3" s="2" t="s">
        <v>10</v>
      </c>
      <c r="D3" s="2" t="s">
        <v>16</v>
      </c>
      <c r="E3" s="2" t="s">
        <v>17</v>
      </c>
      <c r="F3" s="2" t="str">
        <f>E3&amp;" "&amp;'Guía'!$B$3</f>
        <v>45-degree view into the dutch oven: chopped red tomato just added on top of the translucent onion, bright red chunks starting to release juice, a wooden spoon mid-pot. Same kitchen set: dark wood countertop, white matte tile wall, cast-iron dutch oven and wooden utensils as recurring props, warm lateral light 3500K, soft shadows, shallow depth of field, 16:9, photorealistic food photography, no hands, no people, no text, no logos.</v>
      </c>
      <c r="G3" s="2" t="str">
        <f>'Guía'!$B$4&amp;"locked-off with a very slow push-in of about 5%. Tomato chunks slowly release juice with gentle bubbling, the spoon stirs once. "&amp;'Guía'!$B$5</f>
        <v>Subtle cinematic motion from the still image. Camera: locked-off with a very slow push-in of about 5%. Tomato chunks slowly release juice with gentle bubbling, the spoon stirs once. Warm light stays constant. Natural food physics, no cuts, no hands, no text, no people.</v>
      </c>
      <c r="H3" s="4" t="s">
        <v>14</v>
      </c>
      <c r="I3" s="4" t="s">
        <v>14</v>
      </c>
    </row>
    <row r="4" ht="109.5" customHeight="1">
      <c r="A4" s="2">
        <v>3.0</v>
      </c>
      <c r="B4" s="2" t="s">
        <v>18</v>
      </c>
      <c r="C4" s="2" t="s">
        <v>10</v>
      </c>
      <c r="D4" s="2" t="s">
        <v>19</v>
      </c>
      <c r="E4" s="2" t="s">
        <v>20</v>
      </c>
      <c r="F4" s="2" t="str">
        <f>E4&amp;" "&amp;'Guía'!$B$3</f>
        <v>45-degree view into the dutch oven: the tomato and onion mixture halfway reduced, thick and dark red, spoon marks visible, small bubbles at the edges and a slight sugary sheen. Same kitchen set: dark wood countertop, white matte tile wall, cast-iron dutch oven and wooden utensils as recurring props, warm lateral light 3500K, soft shadows, shallow depth of field, 16:9, photorealistic food photography, no hands, no people, no text, no logos.</v>
      </c>
      <c r="G4" s="2" t="str">
        <f>'Guía'!$B$4&amp;"locked-off with a very slow push-in of about 5%. Time-lapse feel: the mixture reduces and darkens slightly, bubbles pop at the edges, the spoon drags a slow trail. "&amp;'Guía'!$B$5</f>
        <v>Subtle cinematic motion from the still image. Camera: locked-off with a very slow push-in of about 5%. Time-lapse feel: the mixture reduces and darkens slightly, bubbles pop at the edges, the spoon drags a slow trail. Warm light stays constant. Natural food physics, no cuts, no hands, no text, no people.</v>
      </c>
      <c r="H4" s="4" t="s">
        <v>14</v>
      </c>
      <c r="I4" s="4" t="s">
        <v>14</v>
      </c>
    </row>
    <row r="5" ht="109.5" customHeight="1">
      <c r="A5" s="2">
        <v>4.0</v>
      </c>
      <c r="B5" s="2" t="s">
        <v>21</v>
      </c>
      <c r="C5" s="2" t="s">
        <v>10</v>
      </c>
      <c r="D5" s="2" t="s">
        <v>22</v>
      </c>
      <c r="E5" s="2" t="s">
        <v>23</v>
      </c>
      <c r="F5" s="2" t="str">
        <f>E5&amp;" "&amp;'Guía'!$B$3</f>
        <v>Close-up of the dutch oven surface: thick glossy dark-red tomato-onion jam with a clean channel left by a wooden spoon dragged through it, the channel holding open, sticky sheen. Same kitchen set: dark wood countertop, white matte tile wall, cast-iron dutch oven and wooden utensils as recurring props, warm lateral light 3500K, soft shadows, shallow depth of field, 16:9, photorealistic food photography, no hands, no people, no text, no logos.</v>
      </c>
      <c r="G5" s="2" t="str">
        <f>'Guía'!$B$4&amp;"locked-off with a very slow push-in of about 5%. The channel stays open while steam drifts up and the jam surface shimmers. "&amp;'Guía'!$B$5</f>
        <v>Subtle cinematic motion from the still image. Camera: locked-off with a very slow push-in of about 5%. The channel stays open while steam drifts up and the jam surface shimmers. Warm light stays constant. Natural food physics, no cuts, no hands, no text, no people.</v>
      </c>
      <c r="H5" s="4" t="s">
        <v>14</v>
      </c>
      <c r="I5" s="4" t="s">
        <v>14</v>
      </c>
    </row>
    <row r="6" ht="109.5" customHeight="1">
      <c r="A6" s="2">
        <v>5.0</v>
      </c>
      <c r="B6" s="2" t="s">
        <v>24</v>
      </c>
      <c r="C6" s="2" t="s">
        <v>10</v>
      </c>
      <c r="D6" s="2" t="s">
        <v>25</v>
      </c>
      <c r="E6" s="2" t="s">
        <v>26</v>
      </c>
      <c r="F6" s="2" t="str">
        <f>E6&amp;" "&amp;'Guía'!$B$3</f>
        <v>Overhead close-up of a ceramic bowl with separate unmixed dollops: white suero costeño, white mayonnaise and a small heap of very finely minced sweet ají dulce, a wooden spoon resting in the bowl, a lime half beside it. Same kitchen set: dark wood countertop, white matte tile wall, cast-iron dutch oven and wooden utensils as recurring props, warm lateral light 3500K, soft shadows, shallow depth of field, 16:9, photorealistic food photography, no hands, no people, no text, no logos.</v>
      </c>
      <c r="G6" s="2" t="str">
        <f>'Guía'!$B$4&amp;"locked-off with a very slow push-in of about 5%. The spoon slowly folds the dollops together and the minced ají swirls into the white sauce. "&amp;'Guía'!$B$5</f>
        <v>Subtle cinematic motion from the still image. Camera: locked-off with a very slow push-in of about 5%. The spoon slowly folds the dollops together and the minced ají swirls into the white sauce. Warm light stays constant. Natural food physics, no cuts, no hands, no text, no people.</v>
      </c>
      <c r="H6" s="4" t="s">
        <v>14</v>
      </c>
      <c r="I6" s="4" t="s">
        <v>14</v>
      </c>
    </row>
    <row r="7" ht="109.5" customHeight="1">
      <c r="A7" s="2">
        <v>6.0</v>
      </c>
      <c r="B7" s="2" t="s">
        <v>27</v>
      </c>
      <c r="C7" s="2" t="s">
        <v>10</v>
      </c>
      <c r="D7" s="2" t="s">
        <v>28</v>
      </c>
      <c r="E7" s="2" t="s">
        <v>29</v>
      </c>
      <c r="F7" s="2" t="str">
        <f>E7&amp;" "&amp;'Guía'!$B$3</f>
        <v>Close-up of raw ground beef in a wide bowl with orange smoked paprika and pale spices lightly scattered on top, a fork gently folding the meat, loose airy texture, not compacted. Same kitchen set: dark wood countertop, white matte tile wall, cast-iron dutch oven and wooden utensils as recurring props, warm lateral light 3500K, soft shadows, shallow depth of field, 16:9, photorealistic food photography, no hands, no people, no text, no logos.</v>
      </c>
      <c r="G7" s="2" t="str">
        <f>'Guía'!$B$4&amp;"locked-off with a very slow push-in of about 5%. The fork folds the meat gently once and the spices blend into soft streaks. "&amp;'Guía'!$B$5</f>
        <v>Subtle cinematic motion from the still image. Camera: locked-off with a very slow push-in of about 5%. The fork folds the meat gently once and the spices blend into soft streaks. Warm light stays constant. Natural food physics, no cuts, no hands, no text, no people.</v>
      </c>
      <c r="H7" s="4" t="s">
        <v>14</v>
      </c>
      <c r="I7" s="4" t="s">
        <v>14</v>
      </c>
    </row>
    <row r="8" ht="109.5" customHeight="1">
      <c r="A8" s="2">
        <v>7.0</v>
      </c>
      <c r="B8" s="2" t="s">
        <v>30</v>
      </c>
      <c r="C8" s="2" t="s">
        <v>10</v>
      </c>
      <c r="D8" s="2" t="s">
        <v>31</v>
      </c>
      <c r="E8" s="2" t="s">
        <v>32</v>
      </c>
      <c r="F8" s="2" t="str">
        <f>E8&amp;" "&amp;'Guía'!$B$3</f>
        <v>Two brioche bun halves toasting cut-side down on a hot griddle, golden brown, a thin film of beef fat around them, light steam. Same kitchen set: dark wood countertop, white matte tile wall, cast-iron dutch oven and wooden utensils as recurring props, warm lateral light 3500K, soft shadows, shallow depth of field, 16:9, photorealistic food photography, no hands, no people, no text, no logos.</v>
      </c>
      <c r="G8" s="2" t="str">
        <f>'Guía'!$B$4&amp;"locked-off with a very slow push-in of about 5%. The buns sizzle in the fat, their edges turn a deeper golden, light steam rises. "&amp;'Guía'!$B$5</f>
        <v>Subtle cinematic motion from the still image. Camera: locked-off with a very slow push-in of about 5%. The buns sizzle in the fat, their edges turn a deeper golden, light steam rises. Warm light stays constant. Natural food physics, no cuts, no hands, no text, no people.</v>
      </c>
      <c r="H8" s="4" t="s">
        <v>14</v>
      </c>
      <c r="I8" s="4" t="s">
        <v>14</v>
      </c>
    </row>
    <row r="9" ht="109.5" customHeight="1">
      <c r="A9" s="2">
        <v>8.0</v>
      </c>
      <c r="B9" s="2" t="s">
        <v>33</v>
      </c>
      <c r="C9" s="2" t="s">
        <v>10</v>
      </c>
      <c r="D9" s="2" t="s">
        <v>34</v>
      </c>
      <c r="E9" s="2" t="s">
        <v>35</v>
      </c>
      <c r="F9" s="2" t="str">
        <f>E9&amp;" "&amp;'Guía'!$B$3</f>
        <v>Side view of a burger under construction on a wooden board: bottom brioche with white sauce, beef patty, dark-golden crusted costeño cheese, fried plantain slices, and a wooden spoon resting on top after placing a glossy dollop of red tomato-onion jam. Same kitchen set: dark wood countertop, white matte tile wall, cast-iron dutch oven and wooden utensils as recurring props, warm lateral light 3500K, soft shadows, shallow depth of field, 16:9, photorealistic food photography, no hands, no people, no text, no logos.</v>
      </c>
      <c r="G9" s="2" t="str">
        <f>'Guía'!$B$4&amp;"slow 15-degree orbit around the subject. The dollop of hogao slowly settles and slides a little down the side of the burger. "&amp;'Guía'!$B$5</f>
        <v>Subtle cinematic motion from the still image. Camera: slow 15-degree orbit around the subject. The dollop of hogao slowly settles and slides a little down the side of the burger. Warm light stays constant. Natural food physics, no cuts, no hands, no text, no people.</v>
      </c>
      <c r="H9" s="4" t="s">
        <v>14</v>
      </c>
      <c r="I9" s="4" t="s">
        <v>14</v>
      </c>
    </row>
    <row r="10" ht="109.5" customHeight="1">
      <c r="A10" s="2">
        <v>9.0</v>
      </c>
      <c r="B10" s="2" t="s">
        <v>36</v>
      </c>
      <c r="C10" s="2" t="s">
        <v>10</v>
      </c>
      <c r="D10" s="2" t="s">
        <v>37</v>
      </c>
      <c r="E10" s="2" t="s">
        <v>38</v>
      </c>
      <c r="F10" s="2" t="str">
        <f>E10&amp;" "&amp;'Guía'!$B$3</f>
        <v>Burger cut in half on a wooden board, two halves showing every layer: white sauce, patty, crusted cheese, plantain, glossy hogao and toasted brioche, steam rising, slight 30-degree angle. Same kitchen set: dark wood countertop, white matte tile wall, cast-iron dutch oven and wooden utensils as recurring props, warm lateral light 3500K, soft shadows, shallow depth of field, 16:9, photorealistic food photography, no hands, no people, no text, no logos.</v>
      </c>
      <c r="G10" s="2" t="str">
        <f>'Guía'!$B$4&amp;"slow 15-degree orbit around the subject. Steam rises from the halves and the sauce drips slowly. "&amp;'Guía'!$B$5</f>
        <v>Subtle cinematic motion from the still image. Camera: slow 15-degree orbit around the subject. Steam rises from the halves and the sauce drips slowly. Warm light stays constant. Natural food physics, no cuts, no hands, no text, no people.</v>
      </c>
      <c r="H10" s="4" t="s">
        <v>14</v>
      </c>
      <c r="I10" s="4" t="s">
        <v>14</v>
      </c>
    </row>
    <row r="11" ht="109.5" customHeight="1">
      <c r="A11" s="2">
        <v>10.0</v>
      </c>
      <c r="B11" s="2" t="s">
        <v>39</v>
      </c>
      <c r="C11" s="2" t="s">
        <v>40</v>
      </c>
      <c r="D11" s="2" t="s">
        <v>41</v>
      </c>
      <c r="E11" s="2" t="s">
        <v>42</v>
      </c>
      <c r="F11" s="2" t="str">
        <f>E11&amp;" "&amp;'Guía'!$B$3</f>
        <v>Overhead 90-degree mise en place on the countertop: 600 g of raw ground beef in a bowl, four brioche buns, costeño cheese slices, two ripe plantains, tomatoes, chopped onion, small jars of suero costeño and mayonnaise, sweet ají dulce peppers and a lime half, each in its own bowl or on its own board, neatly arranged. Same kitchen set: dark wood countertop, white matte tile wall, cast-iron dutch oven and wooden utensils as recurring props, warm lateral light 3500K, soft shadows, shallow depth of field, 16:9, photorealistic food photography, no hands, no people, no text, no logos.</v>
      </c>
      <c r="G11" s="2" t="s">
        <v>43</v>
      </c>
      <c r="H11" s="4" t="s">
        <v>14</v>
      </c>
      <c r="I11" s="4" t="s">
        <v>44</v>
      </c>
    </row>
    <row r="12" ht="109.5" customHeight="1">
      <c r="A12" s="2">
        <v>11.0</v>
      </c>
      <c r="B12" s="2" t="s">
        <v>45</v>
      </c>
      <c r="C12" s="2" t="s">
        <v>40</v>
      </c>
      <c r="D12" s="2" t="s">
        <v>46</v>
      </c>
      <c r="E12" s="2" t="s">
        <v>47</v>
      </c>
      <c r="F12" s="2" t="str">
        <f>E12&amp;" "&amp;'Guía'!$B$3</f>
        <v>Close-up at 30 degrees of white costeño cheese slices fanned on a small wooden board next to two ripe plantains with black-spotted yellow skin, a knife resting nearby. Same kitchen set: dark wood countertop, white matte tile wall, cast-iron dutch oven and wooden utensils as recurring props, warm lateral light 3500K, soft shadows, shallow depth of field, 16:9, photorealistic food photography, no hands, no people, no text, no logos.</v>
      </c>
      <c r="G12" s="2" t="s">
        <v>43</v>
      </c>
      <c r="H12" s="4" t="s">
        <v>14</v>
      </c>
      <c r="I12" s="4" t="s">
        <v>44</v>
      </c>
    </row>
    <row r="13" ht="109.5" customHeight="1">
      <c r="A13" s="2">
        <v>12.0</v>
      </c>
      <c r="B13" s="2" t="s">
        <v>48</v>
      </c>
      <c r="C13" s="2" t="s">
        <v>40</v>
      </c>
      <c r="D13" s="2" t="s">
        <v>49</v>
      </c>
      <c r="E13" s="2" t="s">
        <v>50</v>
      </c>
      <c r="F13" s="2" t="str">
        <f>E13&amp;" "&amp;'Guía'!$B$3</f>
        <v>Close-up of ripe red chonto tomatoes and a halved white onion on a wooden board, a few whole tomatoes behind, white tile wall softly blurred. Same kitchen set: dark wood countertop, white matte tile wall, cast-iron dutch oven and wooden utensils as recurring props, warm lateral light 3500K, soft shadows, shallow depth of field, 16:9, photorealistic food photography, no hands, no people, no text, no logos.</v>
      </c>
      <c r="G13" s="2" t="s">
        <v>43</v>
      </c>
      <c r="H13" s="4" t="s">
        <v>14</v>
      </c>
      <c r="I13" s="4" t="s">
        <v>44</v>
      </c>
    </row>
    <row r="14" ht="109.5" customHeight="1">
      <c r="A14" s="2">
        <v>13.0</v>
      </c>
      <c r="B14" s="2" t="s">
        <v>51</v>
      </c>
      <c r="C14" s="2" t="s">
        <v>40</v>
      </c>
      <c r="D14" s="2" t="s">
        <v>52</v>
      </c>
      <c r="E14" s="2" t="s">
        <v>53</v>
      </c>
      <c r="F14" s="2" t="str">
        <f>E14&amp;" "&amp;'Guía'!$B$3</f>
        <v>The same ceramic bowl of white sauce now covered tightly with clear cling film on the countertop, a small wooden spoon beside it, calm still composition. Same kitchen set: dark wood countertop, white matte tile wall, cast-iron dutch oven and wooden utensils as recurring props, warm lateral light 3500K, soft shadows, shallow depth of field, 16:9, photorealistic food photography, no hands, no people, no text, no logos.</v>
      </c>
      <c r="G14" s="2" t="s">
        <v>43</v>
      </c>
      <c r="H14" s="4" t="s">
        <v>14</v>
      </c>
      <c r="I14" s="4" t="s">
        <v>44</v>
      </c>
    </row>
    <row r="15" ht="109.5" customHeight="1">
      <c r="A15" s="2">
        <v>14.0</v>
      </c>
      <c r="B15" s="2" t="s">
        <v>54</v>
      </c>
      <c r="C15" s="2" t="s">
        <v>40</v>
      </c>
      <c r="D15" s="2" t="s">
        <v>55</v>
      </c>
      <c r="E15" s="2" t="s">
        <v>56</v>
      </c>
      <c r="F15" s="2" t="str">
        <f>E15&amp;" "&amp;'Guía'!$B$3</f>
        <v>Overhead of three small bowls with garlic powder, onion powder and orange smoked paprika, each with a small measuring spoon, beside a bowl of raw ground beef; a separate small dish with coarse salt and black pepper placed apart at the edge of the frame. Same kitchen set: dark wood countertop, white matte tile wall, cast-iron dutch oven and wooden utensils as recurring props, warm lateral light 3500K, soft shadows, shallow depth of field, 16:9, photorealistic food photography, no hands, no people, no text, no logos.</v>
      </c>
      <c r="G15" s="2" t="s">
        <v>43</v>
      </c>
      <c r="H15" s="4" t="s">
        <v>14</v>
      </c>
      <c r="I15" s="4" t="s">
        <v>44</v>
      </c>
    </row>
    <row r="16" ht="109.5" customHeight="1">
      <c r="A16" s="2">
        <v>15.0</v>
      </c>
      <c r="B16" s="2" t="s">
        <v>57</v>
      </c>
      <c r="C16" s="2" t="s">
        <v>40</v>
      </c>
      <c r="D16" s="2" t="s">
        <v>58</v>
      </c>
      <c r="E16" s="2" t="s">
        <v>59</v>
      </c>
      <c r="F16" s="2" t="str">
        <f>E16&amp;" "&amp;'Guía'!$B$3</f>
        <v>Wide 30-degree view of an empty very hot cast-iron griddle on the dark wood counter, a thin wisp of smoke rising from its surface, a raw beef ball on parchment paper resting just beside it. Same kitchen set: dark wood countertop, white matte tile wall, cast-iron dutch oven and wooden utensils as recurring props, warm lateral light 3500K, soft shadows, shallow depth of field, 16:9, photorealistic food photography, no hands, no people, no text, no logos.</v>
      </c>
      <c r="G16" s="2" t="s">
        <v>43</v>
      </c>
      <c r="H16" s="4" t="s">
        <v>14</v>
      </c>
      <c r="I16" s="4" t="s">
        <v>44</v>
      </c>
    </row>
    <row r="17" ht="109.5" customHeight="1">
      <c r="A17" s="2">
        <v>16.0</v>
      </c>
      <c r="B17" s="2" t="s">
        <v>60</v>
      </c>
      <c r="C17" s="2" t="s">
        <v>40</v>
      </c>
      <c r="D17" s="2" t="s">
        <v>61</v>
      </c>
      <c r="E17" s="2" t="s">
        <v>62</v>
      </c>
      <c r="F17" s="2" t="str">
        <f>E17&amp;" "&amp;'Guía'!$B$3</f>
        <v>Three smash patties resting on a warm white plate, deep brown lacy crust edges, glistening fat, light steam rising. Same kitchen set: dark wood countertop, white matte tile wall, cast-iron dutch oven and wooden utensils as recurring props, warm lateral light 3500K, soft shadows, shallow depth of field, 16:9, photorealistic food photography, no hands, no people, no text, no logos.</v>
      </c>
      <c r="G17" s="2" t="s">
        <v>43</v>
      </c>
      <c r="H17" s="4" t="s">
        <v>14</v>
      </c>
      <c r="I17" s="4"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conditionalFormatting sqref="H2:H17">
    <cfRule type="expression" dxfId="0" priority="1">
      <formula>H2="Lista"</formula>
    </cfRule>
  </conditionalFormatting>
  <conditionalFormatting sqref="I2:I17">
    <cfRule type="expression" dxfId="0" priority="2">
      <formula>I2="Lista"</formula>
    </cfRule>
  </conditionalFormatting>
  <dataValidations>
    <dataValidation type="list" allowBlank="1" sqref="H2:I17">
      <formula1>"Pendiente,Lista,No aplica"</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6.0"/>
    <col customWidth="1" min="2" max="3" width="9.0"/>
    <col customWidth="1" min="4" max="4" width="8.0"/>
    <col customWidth="1" min="5" max="5" width="9.0"/>
    <col customWidth="1" min="6" max="6" width="16.0"/>
    <col customWidth="1" min="7" max="7" width="50.0"/>
    <col customWidth="1" min="8" max="8" width="14.0"/>
    <col customWidth="1" min="9" max="10" width="26.0"/>
    <col customWidth="1" min="11" max="11" width="34.0"/>
    <col customWidth="1" min="12" max="12" width="14.0"/>
    <col customWidth="1" min="13" max="13" width="44.0"/>
  </cols>
  <sheetData>
    <row r="1" ht="31.5" customHeight="1">
      <c r="A1" s="1" t="s">
        <v>63</v>
      </c>
      <c r="B1" s="1" t="s">
        <v>64</v>
      </c>
      <c r="C1" s="1" t="s">
        <v>65</v>
      </c>
      <c r="D1" s="1" t="s">
        <v>66</v>
      </c>
      <c r="E1" s="1" t="s">
        <v>67</v>
      </c>
      <c r="F1" s="1" t="s">
        <v>68</v>
      </c>
      <c r="G1" s="1" t="s">
        <v>69</v>
      </c>
      <c r="H1" s="1" t="s">
        <v>70</v>
      </c>
      <c r="I1" s="1" t="s">
        <v>71</v>
      </c>
      <c r="J1" s="1" t="s">
        <v>72</v>
      </c>
      <c r="K1" s="1" t="s">
        <v>73</v>
      </c>
      <c r="L1" s="1" t="s">
        <v>74</v>
      </c>
      <c r="M1" s="1" t="s">
        <v>75</v>
      </c>
    </row>
    <row r="2" ht="48.0" customHeight="1">
      <c r="A2" s="2" t="s">
        <v>76</v>
      </c>
      <c r="B2" s="5">
        <v>0.0</v>
      </c>
      <c r="C2" s="6" t="str">
        <f t="shared" ref="C2:C29" si="1">B3</f>
        <v>9.0</v>
      </c>
      <c r="D2" s="6" t="str">
        <f t="shared" ref="D2:D30" si="2">ROUND(C2-B2,1)</f>
        <v>9.0</v>
      </c>
      <c r="E2" s="2" t="str">
        <f t="shared" ref="E2:E30" si="3">TEXT(B2/86400,"m:ss")</f>
        <v>0:00</v>
      </c>
      <c r="F2" s="2" t="s">
        <v>77</v>
      </c>
      <c r="G2" s="2" t="s">
        <v>78</v>
      </c>
      <c r="H2" s="2" t="s">
        <v>79</v>
      </c>
      <c r="I2" s="2" t="s">
        <v>80</v>
      </c>
      <c r="J2" s="2" t="s">
        <v>81</v>
      </c>
      <c r="K2" s="2" t="str">
        <f t="shared" ref="K2:K30" si="4">IF(H2="Nueva fija","Imagen fija con zoom lento de 5 %",IF(LEFT(I2,1)="N",IF(ISNUMBER(SEARCH("zoom",I2)),"Zoom lento sobre la toma existente",IF(D2&gt;8,"Ralentiza el clip a "&amp;TEXT(8/D2,"0%"),"Recorta a "&amp;TEXT(D2,"0.0")&amp;" s")),IF(D2&gt;8,"Ralentiza el clip a "&amp;TEXT(8/D2,"0%"),"Recorta a "&amp;TEXT(D2,"0.0")&amp;" s")))</f>
        <v>Ralentiza el clip a 89%</v>
      </c>
      <c r="L2" s="4" t="s">
        <v>82</v>
      </c>
      <c r="M2" s="2"/>
    </row>
    <row r="3" ht="48.0" customHeight="1">
      <c r="A3" s="2" t="s">
        <v>83</v>
      </c>
      <c r="B3" s="5">
        <v>9.0</v>
      </c>
      <c r="C3" s="6" t="str">
        <f t="shared" si="1"/>
        <v>12.6</v>
      </c>
      <c r="D3" s="6" t="str">
        <f t="shared" si="2"/>
        <v>3.6</v>
      </c>
      <c r="E3" s="2" t="str">
        <f t="shared" si="3"/>
        <v>0:09</v>
      </c>
      <c r="F3" s="2" t="s">
        <v>77</v>
      </c>
      <c r="G3" s="2" t="s">
        <v>84</v>
      </c>
      <c r="H3" s="2" t="s">
        <v>10</v>
      </c>
      <c r="I3" s="2" t="s">
        <v>36</v>
      </c>
      <c r="J3" s="2" t="s">
        <v>85</v>
      </c>
      <c r="K3" s="2" t="str">
        <f t="shared" si="4"/>
        <v>Recorta a 3.6 s</v>
      </c>
      <c r="L3" s="4" t="s">
        <v>86</v>
      </c>
      <c r="M3" s="2" t="s">
        <v>87</v>
      </c>
    </row>
    <row r="4" ht="48.0" customHeight="1">
      <c r="A4" s="2" t="s">
        <v>88</v>
      </c>
      <c r="B4" s="5">
        <v>12.6</v>
      </c>
      <c r="C4" s="6" t="str">
        <f t="shared" si="1"/>
        <v>18.2</v>
      </c>
      <c r="D4" s="6" t="str">
        <f t="shared" si="2"/>
        <v>5.6</v>
      </c>
      <c r="E4" s="2" t="str">
        <f t="shared" si="3"/>
        <v>0:13</v>
      </c>
      <c r="F4" s="2" t="s">
        <v>89</v>
      </c>
      <c r="G4" s="2" t="s">
        <v>90</v>
      </c>
      <c r="H4" s="2" t="s">
        <v>40</v>
      </c>
      <c r="I4" s="2" t="s">
        <v>39</v>
      </c>
      <c r="J4" s="2" t="s">
        <v>91</v>
      </c>
      <c r="K4" s="2" t="str">
        <f t="shared" si="4"/>
        <v>Imagen fija con zoom lento de 5 %</v>
      </c>
      <c r="L4" s="4" t="s">
        <v>86</v>
      </c>
      <c r="M4" s="2" t="s">
        <v>92</v>
      </c>
    </row>
    <row r="5" ht="48.0" customHeight="1">
      <c r="A5" s="2" t="s">
        <v>46</v>
      </c>
      <c r="B5" s="5">
        <v>18.2</v>
      </c>
      <c r="C5" s="6" t="str">
        <f t="shared" si="1"/>
        <v>23.0</v>
      </c>
      <c r="D5" s="6" t="str">
        <f t="shared" si="2"/>
        <v>4.8</v>
      </c>
      <c r="E5" s="2" t="str">
        <f t="shared" si="3"/>
        <v>0:18</v>
      </c>
      <c r="F5" s="2" t="s">
        <v>89</v>
      </c>
      <c r="G5" s="2" t="s">
        <v>93</v>
      </c>
      <c r="H5" s="2" t="s">
        <v>40</v>
      </c>
      <c r="I5" s="2" t="s">
        <v>45</v>
      </c>
      <c r="J5" s="2" t="s">
        <v>91</v>
      </c>
      <c r="K5" s="2" t="str">
        <f t="shared" si="4"/>
        <v>Imagen fija con zoom lento de 5 %</v>
      </c>
      <c r="L5" s="4" t="s">
        <v>86</v>
      </c>
      <c r="M5" s="2" t="s">
        <v>94</v>
      </c>
    </row>
    <row r="6" ht="48.0" customHeight="1">
      <c r="A6" s="2" t="s">
        <v>49</v>
      </c>
      <c r="B6" s="5">
        <v>23.0</v>
      </c>
      <c r="C6" s="6" t="str">
        <f t="shared" si="1"/>
        <v>28.2</v>
      </c>
      <c r="D6" s="6" t="str">
        <f t="shared" si="2"/>
        <v>5.2</v>
      </c>
      <c r="E6" s="2" t="str">
        <f t="shared" si="3"/>
        <v>0:23</v>
      </c>
      <c r="F6" s="2" t="s">
        <v>89</v>
      </c>
      <c r="G6" s="2" t="s">
        <v>95</v>
      </c>
      <c r="H6" s="2" t="s">
        <v>40</v>
      </c>
      <c r="I6" s="2" t="s">
        <v>48</v>
      </c>
      <c r="J6" s="2" t="s">
        <v>91</v>
      </c>
      <c r="K6" s="2" t="str">
        <f t="shared" si="4"/>
        <v>Imagen fija con zoom lento de 5 %</v>
      </c>
      <c r="L6" s="4" t="s">
        <v>86</v>
      </c>
      <c r="M6" s="2" t="s">
        <v>96</v>
      </c>
    </row>
    <row r="7" ht="48.0" customHeight="1">
      <c r="A7" s="2" t="s">
        <v>97</v>
      </c>
      <c r="B7" s="5">
        <v>28.2</v>
      </c>
      <c r="C7" s="6" t="str">
        <f t="shared" si="1"/>
        <v>34.3</v>
      </c>
      <c r="D7" s="6" t="str">
        <f t="shared" si="2"/>
        <v>6.1</v>
      </c>
      <c r="E7" s="2" t="str">
        <f t="shared" si="3"/>
        <v>0:28</v>
      </c>
      <c r="F7" s="2" t="s">
        <v>89</v>
      </c>
      <c r="G7" s="2" t="s">
        <v>98</v>
      </c>
      <c r="H7" s="2" t="s">
        <v>79</v>
      </c>
      <c r="I7" s="2" t="s">
        <v>99</v>
      </c>
      <c r="J7" s="2" t="s">
        <v>100</v>
      </c>
      <c r="K7" s="2" t="str">
        <f t="shared" si="4"/>
        <v>Zoom lento sobre la toma existente</v>
      </c>
      <c r="L7" s="4" t="s">
        <v>86</v>
      </c>
      <c r="M7" s="2" t="s">
        <v>101</v>
      </c>
    </row>
    <row r="8" ht="48.0" customHeight="1">
      <c r="A8" s="2" t="s">
        <v>102</v>
      </c>
      <c r="B8" s="5">
        <v>34.3</v>
      </c>
      <c r="C8" s="6" t="str">
        <f t="shared" si="1"/>
        <v>43.5</v>
      </c>
      <c r="D8" s="6" t="str">
        <f t="shared" si="2"/>
        <v>9.2</v>
      </c>
      <c r="E8" s="2" t="str">
        <f t="shared" si="3"/>
        <v>0:34</v>
      </c>
      <c r="F8" s="2" t="s">
        <v>103</v>
      </c>
      <c r="G8" s="2" t="s">
        <v>104</v>
      </c>
      <c r="H8" s="2" t="s">
        <v>10</v>
      </c>
      <c r="I8" s="2" t="s">
        <v>9</v>
      </c>
      <c r="J8" s="2" t="s">
        <v>81</v>
      </c>
      <c r="K8" s="2" t="str">
        <f t="shared" si="4"/>
        <v>Ralentiza el clip a 87%</v>
      </c>
      <c r="L8" s="4" t="s">
        <v>86</v>
      </c>
      <c r="M8" s="2" t="s">
        <v>105</v>
      </c>
    </row>
    <row r="9" ht="48.0" customHeight="1">
      <c r="A9" s="2" t="s">
        <v>106</v>
      </c>
      <c r="B9" s="5">
        <v>43.5</v>
      </c>
      <c r="C9" s="6" t="str">
        <f t="shared" si="1"/>
        <v>47.8</v>
      </c>
      <c r="D9" s="6" t="str">
        <f t="shared" si="2"/>
        <v>4.3</v>
      </c>
      <c r="E9" s="2" t="str">
        <f t="shared" si="3"/>
        <v>0:44</v>
      </c>
      <c r="F9" s="2" t="s">
        <v>103</v>
      </c>
      <c r="G9" s="2" t="s">
        <v>107</v>
      </c>
      <c r="H9" s="2" t="s">
        <v>79</v>
      </c>
      <c r="I9" s="2" t="s">
        <v>108</v>
      </c>
      <c r="J9" s="2" t="s">
        <v>109</v>
      </c>
      <c r="K9" s="2" t="str">
        <f t="shared" si="4"/>
        <v>Zoom lento sobre la toma existente</v>
      </c>
      <c r="L9" s="4" t="s">
        <v>86</v>
      </c>
      <c r="M9" s="2" t="s">
        <v>110</v>
      </c>
    </row>
    <row r="10" ht="48.0" customHeight="1">
      <c r="A10" s="2" t="s">
        <v>16</v>
      </c>
      <c r="B10" s="5">
        <v>47.8</v>
      </c>
      <c r="C10" s="6" t="str">
        <f t="shared" si="1"/>
        <v>54.2</v>
      </c>
      <c r="D10" s="6" t="str">
        <f t="shared" si="2"/>
        <v>6.4</v>
      </c>
      <c r="E10" s="2" t="str">
        <f t="shared" si="3"/>
        <v>0:48</v>
      </c>
      <c r="F10" s="2" t="s">
        <v>103</v>
      </c>
      <c r="G10" s="2" t="s">
        <v>111</v>
      </c>
      <c r="H10" s="2" t="s">
        <v>10</v>
      </c>
      <c r="I10" s="2" t="s">
        <v>15</v>
      </c>
      <c r="J10" s="2" t="s">
        <v>112</v>
      </c>
      <c r="K10" s="2" t="str">
        <f t="shared" si="4"/>
        <v>Recorta a 6.4 s</v>
      </c>
      <c r="L10" s="4" t="s">
        <v>86</v>
      </c>
      <c r="M10" s="2" t="s">
        <v>113</v>
      </c>
    </row>
    <row r="11" ht="48.0" customHeight="1">
      <c r="A11" s="2" t="s">
        <v>19</v>
      </c>
      <c r="B11" s="5">
        <v>54.2</v>
      </c>
      <c r="C11" s="6" t="str">
        <f t="shared" si="1"/>
        <v>60.8</v>
      </c>
      <c r="D11" s="6" t="str">
        <f t="shared" si="2"/>
        <v>6.6</v>
      </c>
      <c r="E11" s="2" t="str">
        <f t="shared" si="3"/>
        <v>0:54</v>
      </c>
      <c r="F11" s="2" t="s">
        <v>103</v>
      </c>
      <c r="G11" s="2" t="s">
        <v>114</v>
      </c>
      <c r="H11" s="2" t="s">
        <v>10</v>
      </c>
      <c r="I11" s="2" t="s">
        <v>18</v>
      </c>
      <c r="J11" s="2" t="s">
        <v>115</v>
      </c>
      <c r="K11" s="2" t="str">
        <f t="shared" si="4"/>
        <v>Recorta a 6.6 s</v>
      </c>
      <c r="L11" s="4" t="s">
        <v>86</v>
      </c>
      <c r="M11" s="2" t="s">
        <v>116</v>
      </c>
    </row>
    <row r="12" ht="48.0" customHeight="1">
      <c r="A12" s="2" t="s">
        <v>22</v>
      </c>
      <c r="B12" s="5">
        <v>60.8</v>
      </c>
      <c r="C12" s="6" t="str">
        <f t="shared" si="1"/>
        <v>64.7</v>
      </c>
      <c r="D12" s="6" t="str">
        <f t="shared" si="2"/>
        <v>3.9</v>
      </c>
      <c r="E12" s="2" t="str">
        <f t="shared" si="3"/>
        <v>1:01</v>
      </c>
      <c r="F12" s="2" t="s">
        <v>103</v>
      </c>
      <c r="G12" s="2" t="s">
        <v>117</v>
      </c>
      <c r="H12" s="2" t="s">
        <v>10</v>
      </c>
      <c r="I12" s="2" t="s">
        <v>21</v>
      </c>
      <c r="J12" s="2" t="s">
        <v>118</v>
      </c>
      <c r="K12" s="2" t="str">
        <f t="shared" si="4"/>
        <v>Recorta a 3.9 s</v>
      </c>
      <c r="L12" s="4" t="s">
        <v>86</v>
      </c>
      <c r="M12" s="2" t="s">
        <v>119</v>
      </c>
    </row>
    <row r="13" ht="48.0" customHeight="1">
      <c r="A13" s="2" t="s">
        <v>120</v>
      </c>
      <c r="B13" s="5">
        <v>64.7</v>
      </c>
      <c r="C13" s="6" t="str">
        <f t="shared" si="1"/>
        <v>68.2</v>
      </c>
      <c r="D13" s="6" t="str">
        <f t="shared" si="2"/>
        <v>3.5</v>
      </c>
      <c r="E13" s="2" t="str">
        <f t="shared" si="3"/>
        <v>1:05</v>
      </c>
      <c r="F13" s="2" t="s">
        <v>103</v>
      </c>
      <c r="G13" s="2" t="s">
        <v>121</v>
      </c>
      <c r="H13" s="2" t="s">
        <v>79</v>
      </c>
      <c r="I13" s="2" t="s">
        <v>122</v>
      </c>
      <c r="J13" s="2" t="s">
        <v>123</v>
      </c>
      <c r="K13" s="2" t="str">
        <f t="shared" si="4"/>
        <v>Recorta a 3.5 s</v>
      </c>
      <c r="L13" s="4" t="s">
        <v>82</v>
      </c>
      <c r="M13" s="2"/>
    </row>
    <row r="14" ht="48.0" customHeight="1">
      <c r="A14" s="2" t="s">
        <v>25</v>
      </c>
      <c r="B14" s="5">
        <v>68.2</v>
      </c>
      <c r="C14" s="6" t="str">
        <f t="shared" si="1"/>
        <v>77.4</v>
      </c>
      <c r="D14" s="6" t="str">
        <f t="shared" si="2"/>
        <v>9.2</v>
      </c>
      <c r="E14" s="2" t="str">
        <f t="shared" si="3"/>
        <v>1:08</v>
      </c>
      <c r="F14" s="2" t="s">
        <v>124</v>
      </c>
      <c r="G14" s="2" t="s">
        <v>125</v>
      </c>
      <c r="H14" s="2" t="s">
        <v>10</v>
      </c>
      <c r="I14" s="2" t="s">
        <v>24</v>
      </c>
      <c r="J14" s="2" t="s">
        <v>81</v>
      </c>
      <c r="K14" s="2" t="str">
        <f t="shared" si="4"/>
        <v>Ralentiza el clip a 87%</v>
      </c>
      <c r="L14" s="4" t="s">
        <v>86</v>
      </c>
      <c r="M14" s="2" t="s">
        <v>126</v>
      </c>
    </row>
    <row r="15" ht="48.0" customHeight="1">
      <c r="A15" s="2" t="s">
        <v>127</v>
      </c>
      <c r="B15" s="5">
        <v>77.4</v>
      </c>
      <c r="C15" s="6" t="str">
        <f t="shared" si="1"/>
        <v>81.6</v>
      </c>
      <c r="D15" s="6" t="str">
        <f t="shared" si="2"/>
        <v>4.2</v>
      </c>
      <c r="E15" s="2" t="str">
        <f t="shared" si="3"/>
        <v>1:17</v>
      </c>
      <c r="F15" s="2" t="s">
        <v>124</v>
      </c>
      <c r="G15" s="2" t="s">
        <v>128</v>
      </c>
      <c r="H15" s="2" t="s">
        <v>79</v>
      </c>
      <c r="I15" s="2" t="s">
        <v>129</v>
      </c>
      <c r="J15" s="2" t="s">
        <v>130</v>
      </c>
      <c r="K15" s="2" t="str">
        <f t="shared" si="4"/>
        <v>Recorta a 4.2 s</v>
      </c>
      <c r="L15" s="4" t="s">
        <v>82</v>
      </c>
      <c r="M15" s="2"/>
    </row>
    <row r="16" ht="48.0" customHeight="1">
      <c r="A16" s="2" t="s">
        <v>52</v>
      </c>
      <c r="B16" s="5">
        <v>81.6</v>
      </c>
      <c r="C16" s="6" t="str">
        <f t="shared" si="1"/>
        <v>86.0</v>
      </c>
      <c r="D16" s="6" t="str">
        <f t="shared" si="2"/>
        <v>4.4</v>
      </c>
      <c r="E16" s="2" t="str">
        <f t="shared" si="3"/>
        <v>1:22</v>
      </c>
      <c r="F16" s="2" t="s">
        <v>124</v>
      </c>
      <c r="G16" s="2" t="s">
        <v>131</v>
      </c>
      <c r="H16" s="2" t="s">
        <v>40</v>
      </c>
      <c r="I16" s="2" t="s">
        <v>51</v>
      </c>
      <c r="J16" s="2" t="s">
        <v>91</v>
      </c>
      <c r="K16" s="2" t="str">
        <f t="shared" si="4"/>
        <v>Imagen fija con zoom lento de 5 %</v>
      </c>
      <c r="L16" s="4" t="s">
        <v>86</v>
      </c>
      <c r="M16" s="2" t="s">
        <v>132</v>
      </c>
    </row>
    <row r="17" ht="48.0" customHeight="1">
      <c r="A17" s="2" t="s">
        <v>133</v>
      </c>
      <c r="B17" s="5">
        <v>86.0</v>
      </c>
      <c r="C17" s="6" t="str">
        <f t="shared" si="1"/>
        <v>91.7</v>
      </c>
      <c r="D17" s="6" t="str">
        <f t="shared" si="2"/>
        <v>5.7</v>
      </c>
      <c r="E17" s="2" t="str">
        <f t="shared" si="3"/>
        <v>1:26</v>
      </c>
      <c r="F17" s="2" t="s">
        <v>134</v>
      </c>
      <c r="G17" s="2" t="s">
        <v>135</v>
      </c>
      <c r="H17" s="2" t="s">
        <v>40</v>
      </c>
      <c r="I17" s="2" t="s">
        <v>54</v>
      </c>
      <c r="J17" s="2" t="s">
        <v>91</v>
      </c>
      <c r="K17" s="2" t="str">
        <f t="shared" si="4"/>
        <v>Imagen fija con zoom lento de 5 %</v>
      </c>
      <c r="L17" s="4" t="s">
        <v>86</v>
      </c>
      <c r="M17" s="2" t="s">
        <v>136</v>
      </c>
    </row>
    <row r="18" ht="48.0" customHeight="1">
      <c r="A18" s="2" t="s">
        <v>137</v>
      </c>
      <c r="B18" s="5">
        <v>91.7</v>
      </c>
      <c r="C18" s="6" t="str">
        <f t="shared" si="1"/>
        <v>94.8</v>
      </c>
      <c r="D18" s="6" t="str">
        <f t="shared" si="2"/>
        <v>3.1</v>
      </c>
      <c r="E18" s="2" t="str">
        <f t="shared" si="3"/>
        <v>1:32</v>
      </c>
      <c r="F18" s="2" t="s">
        <v>134</v>
      </c>
      <c r="G18" s="2" t="s">
        <v>138</v>
      </c>
      <c r="H18" s="2" t="s">
        <v>79</v>
      </c>
      <c r="I18" s="2" t="s">
        <v>139</v>
      </c>
      <c r="J18" s="2" t="s">
        <v>140</v>
      </c>
      <c r="K18" s="2" t="str">
        <f t="shared" si="4"/>
        <v>Recorta a 3.1 s</v>
      </c>
      <c r="L18" s="4" t="s">
        <v>82</v>
      </c>
      <c r="M18" s="2" t="s">
        <v>141</v>
      </c>
    </row>
    <row r="19" ht="48.0" customHeight="1">
      <c r="A19" s="2" t="s">
        <v>28</v>
      </c>
      <c r="B19" s="5">
        <v>94.8</v>
      </c>
      <c r="C19" s="6" t="str">
        <f t="shared" si="1"/>
        <v>100.8</v>
      </c>
      <c r="D19" s="6" t="str">
        <f t="shared" si="2"/>
        <v>6.0</v>
      </c>
      <c r="E19" s="2" t="str">
        <f t="shared" si="3"/>
        <v>1:35</v>
      </c>
      <c r="F19" s="2" t="s">
        <v>134</v>
      </c>
      <c r="G19" s="2" t="s">
        <v>142</v>
      </c>
      <c r="H19" s="2" t="s">
        <v>10</v>
      </c>
      <c r="I19" s="2" t="s">
        <v>27</v>
      </c>
      <c r="J19" s="2" t="s">
        <v>143</v>
      </c>
      <c r="K19" s="2" t="str">
        <f t="shared" si="4"/>
        <v>Recorta a 6.0 s</v>
      </c>
      <c r="L19" s="4" t="s">
        <v>86</v>
      </c>
      <c r="M19" s="2" t="s">
        <v>144</v>
      </c>
    </row>
    <row r="20" ht="48.0" customHeight="1">
      <c r="A20" s="2" t="s">
        <v>145</v>
      </c>
      <c r="B20" s="5">
        <v>100.8</v>
      </c>
      <c r="C20" s="6" t="str">
        <f t="shared" si="1"/>
        <v>105.9</v>
      </c>
      <c r="D20" s="6" t="str">
        <f t="shared" si="2"/>
        <v>5.1</v>
      </c>
      <c r="E20" s="2" t="str">
        <f t="shared" si="3"/>
        <v>1:41</v>
      </c>
      <c r="F20" s="2" t="s">
        <v>134</v>
      </c>
      <c r="G20" s="2" t="s">
        <v>146</v>
      </c>
      <c r="H20" s="2" t="s">
        <v>79</v>
      </c>
      <c r="I20" s="2" t="s">
        <v>147</v>
      </c>
      <c r="J20" s="2" t="s">
        <v>148</v>
      </c>
      <c r="K20" s="2" t="str">
        <f t="shared" si="4"/>
        <v>Zoom lento sobre la toma existente</v>
      </c>
      <c r="L20" s="4" t="s">
        <v>86</v>
      </c>
      <c r="M20" s="2" t="s">
        <v>149</v>
      </c>
    </row>
    <row r="21" ht="48.0" customHeight="1">
      <c r="A21" s="2" t="s">
        <v>150</v>
      </c>
      <c r="B21" s="5">
        <v>105.9</v>
      </c>
      <c r="C21" s="6" t="str">
        <f t="shared" si="1"/>
        <v>113.9</v>
      </c>
      <c r="D21" s="6" t="str">
        <f t="shared" si="2"/>
        <v>8.0</v>
      </c>
      <c r="E21" s="2" t="str">
        <f t="shared" si="3"/>
        <v>1:46</v>
      </c>
      <c r="F21" s="2" t="s">
        <v>134</v>
      </c>
      <c r="G21" s="2" t="s">
        <v>151</v>
      </c>
      <c r="H21" s="2" t="s">
        <v>79</v>
      </c>
      <c r="I21" s="2" t="s">
        <v>152</v>
      </c>
      <c r="J21" s="2" t="s">
        <v>81</v>
      </c>
      <c r="K21" s="2" t="str">
        <f t="shared" si="4"/>
        <v>Recorta a 8.0 s</v>
      </c>
      <c r="L21" s="4" t="s">
        <v>82</v>
      </c>
      <c r="M21" s="2" t="s">
        <v>153</v>
      </c>
    </row>
    <row r="22" ht="48.0" customHeight="1">
      <c r="A22" s="2" t="s">
        <v>154</v>
      </c>
      <c r="B22" s="5">
        <v>113.9</v>
      </c>
      <c r="C22" s="6" t="str">
        <f t="shared" si="1"/>
        <v>118.5</v>
      </c>
      <c r="D22" s="6" t="str">
        <f t="shared" si="2"/>
        <v>4.6</v>
      </c>
      <c r="E22" s="2" t="str">
        <f t="shared" si="3"/>
        <v>1:54</v>
      </c>
      <c r="F22" s="2" t="s">
        <v>155</v>
      </c>
      <c r="G22" s="2" t="s">
        <v>156</v>
      </c>
      <c r="H22" s="2" t="s">
        <v>79</v>
      </c>
      <c r="I22" s="2" t="s">
        <v>157</v>
      </c>
      <c r="J22" s="2" t="s">
        <v>158</v>
      </c>
      <c r="K22" s="2" t="str">
        <f t="shared" si="4"/>
        <v>Recorta a 4.6 s</v>
      </c>
      <c r="L22" s="4" t="s">
        <v>82</v>
      </c>
      <c r="M22" s="2" t="s">
        <v>159</v>
      </c>
    </row>
    <row r="23" ht="48.0" customHeight="1">
      <c r="A23" s="2" t="s">
        <v>160</v>
      </c>
      <c r="B23" s="5">
        <v>118.5</v>
      </c>
      <c r="C23" s="6" t="str">
        <f t="shared" si="1"/>
        <v>122.2</v>
      </c>
      <c r="D23" s="6" t="str">
        <f t="shared" si="2"/>
        <v>3.7</v>
      </c>
      <c r="E23" s="2" t="str">
        <f t="shared" si="3"/>
        <v>1:59</v>
      </c>
      <c r="F23" s="2" t="s">
        <v>155</v>
      </c>
      <c r="G23" s="2" t="s">
        <v>161</v>
      </c>
      <c r="H23" s="2" t="s">
        <v>79</v>
      </c>
      <c r="I23" s="2" t="s">
        <v>162</v>
      </c>
      <c r="J23" s="2" t="s">
        <v>163</v>
      </c>
      <c r="K23" s="2" t="str">
        <f t="shared" si="4"/>
        <v>Recorta a 3.7 s</v>
      </c>
      <c r="L23" s="4" t="s">
        <v>82</v>
      </c>
      <c r="M23" s="2" t="s">
        <v>164</v>
      </c>
    </row>
    <row r="24" ht="48.0" customHeight="1">
      <c r="A24" s="2" t="s">
        <v>58</v>
      </c>
      <c r="B24" s="5">
        <v>122.2</v>
      </c>
      <c r="C24" s="6" t="str">
        <f t="shared" si="1"/>
        <v>124.6</v>
      </c>
      <c r="D24" s="6" t="str">
        <f t="shared" si="2"/>
        <v>2.4</v>
      </c>
      <c r="E24" s="2" t="str">
        <f t="shared" si="3"/>
        <v>2:02</v>
      </c>
      <c r="F24" s="2" t="s">
        <v>155</v>
      </c>
      <c r="G24" s="2" t="s">
        <v>165</v>
      </c>
      <c r="H24" s="2" t="s">
        <v>40</v>
      </c>
      <c r="I24" s="2" t="s">
        <v>57</v>
      </c>
      <c r="J24" s="2" t="s">
        <v>91</v>
      </c>
      <c r="K24" s="2" t="str">
        <f t="shared" si="4"/>
        <v>Imagen fija con zoom lento de 5 %</v>
      </c>
      <c r="L24" s="4" t="s">
        <v>86</v>
      </c>
      <c r="M24" s="2" t="s">
        <v>166</v>
      </c>
    </row>
    <row r="25" ht="48.0" customHeight="1">
      <c r="A25" s="2" t="s">
        <v>167</v>
      </c>
      <c r="B25" s="5">
        <v>124.6</v>
      </c>
      <c r="C25" s="6" t="str">
        <f t="shared" si="1"/>
        <v>131.4</v>
      </c>
      <c r="D25" s="6" t="str">
        <f t="shared" si="2"/>
        <v>6.8</v>
      </c>
      <c r="E25" s="2" t="str">
        <f t="shared" si="3"/>
        <v>2:05</v>
      </c>
      <c r="F25" s="2" t="s">
        <v>155</v>
      </c>
      <c r="G25" s="2" t="s">
        <v>168</v>
      </c>
      <c r="H25" s="2" t="s">
        <v>79</v>
      </c>
      <c r="I25" s="2" t="s">
        <v>169</v>
      </c>
      <c r="J25" s="2" t="s">
        <v>170</v>
      </c>
      <c r="K25" s="2" t="str">
        <f t="shared" si="4"/>
        <v>Recorta a 6.8 s</v>
      </c>
      <c r="L25" s="4" t="s">
        <v>82</v>
      </c>
      <c r="M25" s="2" t="s">
        <v>171</v>
      </c>
    </row>
    <row r="26" ht="48.0" customHeight="1">
      <c r="A26" s="2" t="s">
        <v>61</v>
      </c>
      <c r="B26" s="5">
        <v>131.4</v>
      </c>
      <c r="C26" s="6" t="str">
        <f t="shared" si="1"/>
        <v>135.1</v>
      </c>
      <c r="D26" s="6" t="str">
        <f t="shared" si="2"/>
        <v>3.7</v>
      </c>
      <c r="E26" s="2" t="str">
        <f t="shared" si="3"/>
        <v>2:11</v>
      </c>
      <c r="F26" s="2" t="s">
        <v>155</v>
      </c>
      <c r="G26" s="2" t="s">
        <v>172</v>
      </c>
      <c r="H26" s="2" t="s">
        <v>40</v>
      </c>
      <c r="I26" s="2" t="s">
        <v>60</v>
      </c>
      <c r="J26" s="2" t="s">
        <v>91</v>
      </c>
      <c r="K26" s="2" t="str">
        <f t="shared" si="4"/>
        <v>Imagen fija con zoom lento de 5 %</v>
      </c>
      <c r="L26" s="4" t="s">
        <v>86</v>
      </c>
      <c r="M26" s="2" t="s">
        <v>173</v>
      </c>
    </row>
    <row r="27" ht="48.0" customHeight="1">
      <c r="A27" s="2" t="s">
        <v>31</v>
      </c>
      <c r="B27" s="5">
        <v>135.1</v>
      </c>
      <c r="C27" s="6" t="str">
        <f t="shared" si="1"/>
        <v>138.6</v>
      </c>
      <c r="D27" s="6" t="str">
        <f t="shared" si="2"/>
        <v>3.5</v>
      </c>
      <c r="E27" s="2" t="str">
        <f t="shared" si="3"/>
        <v>2:15</v>
      </c>
      <c r="F27" s="2" t="s">
        <v>174</v>
      </c>
      <c r="G27" s="2" t="s">
        <v>175</v>
      </c>
      <c r="H27" s="2" t="s">
        <v>10</v>
      </c>
      <c r="I27" s="2" t="s">
        <v>30</v>
      </c>
      <c r="J27" s="2" t="s">
        <v>123</v>
      </c>
      <c r="K27" s="2" t="str">
        <f t="shared" si="4"/>
        <v>Recorta a 3.5 s</v>
      </c>
      <c r="L27" s="4" t="s">
        <v>86</v>
      </c>
      <c r="M27" s="2"/>
    </row>
    <row r="28" ht="48.0" customHeight="1">
      <c r="A28" s="2" t="s">
        <v>34</v>
      </c>
      <c r="B28" s="5">
        <v>138.6</v>
      </c>
      <c r="C28" s="6" t="str">
        <f t="shared" si="1"/>
        <v>147.1</v>
      </c>
      <c r="D28" s="6" t="str">
        <f t="shared" si="2"/>
        <v>8.5</v>
      </c>
      <c r="E28" s="2" t="str">
        <f t="shared" si="3"/>
        <v>2:19</v>
      </c>
      <c r="F28" s="2" t="s">
        <v>174</v>
      </c>
      <c r="G28" s="2" t="s">
        <v>176</v>
      </c>
      <c r="H28" s="2" t="s">
        <v>10</v>
      </c>
      <c r="I28" s="2" t="s">
        <v>33</v>
      </c>
      <c r="J28" s="2" t="s">
        <v>81</v>
      </c>
      <c r="K28" s="2" t="str">
        <f t="shared" si="4"/>
        <v>Ralentiza el clip a 94%</v>
      </c>
      <c r="L28" s="4" t="s">
        <v>86</v>
      </c>
      <c r="M28" s="2" t="s">
        <v>177</v>
      </c>
    </row>
    <row r="29" ht="48.0" customHeight="1">
      <c r="A29" s="2" t="s">
        <v>178</v>
      </c>
      <c r="B29" s="5">
        <v>147.1</v>
      </c>
      <c r="C29" s="6" t="str">
        <f t="shared" si="1"/>
        <v>151.0</v>
      </c>
      <c r="D29" s="6" t="str">
        <f t="shared" si="2"/>
        <v>3.9</v>
      </c>
      <c r="E29" s="2" t="str">
        <f t="shared" si="3"/>
        <v>2:27</v>
      </c>
      <c r="F29" s="2" t="s">
        <v>174</v>
      </c>
      <c r="G29" s="2" t="s">
        <v>179</v>
      </c>
      <c r="H29" s="2" t="s">
        <v>79</v>
      </c>
      <c r="I29" s="2" t="s">
        <v>36</v>
      </c>
      <c r="J29" s="2" t="s">
        <v>180</v>
      </c>
      <c r="K29" s="2" t="str">
        <f t="shared" si="4"/>
        <v>Recorta a 3.9 s</v>
      </c>
      <c r="L29" s="4" t="s">
        <v>86</v>
      </c>
      <c r="M29" s="2" t="s">
        <v>181</v>
      </c>
    </row>
    <row r="30" ht="48.0" customHeight="1">
      <c r="A30" s="2" t="s">
        <v>182</v>
      </c>
      <c r="B30" s="5">
        <v>151.0</v>
      </c>
      <c r="C30" s="6" t="str">
        <f>'Guía'!$B$7</f>
        <v>157.7</v>
      </c>
      <c r="D30" s="6" t="str">
        <f t="shared" si="2"/>
        <v>6.7</v>
      </c>
      <c r="E30" s="2" t="str">
        <f t="shared" si="3"/>
        <v>2:31</v>
      </c>
      <c r="F30" s="2" t="s">
        <v>183</v>
      </c>
      <c r="G30" s="2" t="s">
        <v>184</v>
      </c>
      <c r="H30" s="2" t="s">
        <v>79</v>
      </c>
      <c r="I30" s="2" t="s">
        <v>80</v>
      </c>
      <c r="J30" s="2" t="s">
        <v>185</v>
      </c>
      <c r="K30" s="2" t="str">
        <f t="shared" si="4"/>
        <v>Recorta a 6.7 s</v>
      </c>
      <c r="L30" s="4" t="s">
        <v>82</v>
      </c>
      <c r="M30" s="2" t="s">
        <v>186</v>
      </c>
    </row>
    <row r="31" ht="15.75" customHeight="1">
      <c r="A31" s="7" t="s">
        <v>187</v>
      </c>
      <c r="D31" s="8" t="str">
        <f>ROUND(SUM(D2:D30),1)</f>
        <v>157.7</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conditionalFormatting sqref="L2:L30">
    <cfRule type="expression" dxfId="1" priority="1">
      <formula>$L2="En el editor"</formula>
    </cfRule>
  </conditionalFormatting>
  <conditionalFormatting sqref="L2:L30">
    <cfRule type="expression" dxfId="0" priority="2">
      <formula>$L2="Clip listo"</formula>
    </cfRule>
  </conditionalFormatting>
  <conditionalFormatting sqref="L2:L30">
    <cfRule type="expression" dxfId="2" priority="3">
      <formula>$L2="Imagen lista"</formula>
    </cfRule>
  </conditionalFormatting>
  <dataValidations>
    <dataValidation type="list" allowBlank="1" sqref="L2:L30">
      <formula1>"Por generar,Imagen lista,Clip listo,En el editor"</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11.0"/>
    <col customWidth="1" min="4" max="4" width="90.0"/>
    <col customWidth="1" min="5" max="11" width="8.71"/>
  </cols>
  <sheetData>
    <row r="1" ht="31.5" customHeight="1">
      <c r="A1" s="1" t="s">
        <v>64</v>
      </c>
      <c r="B1" s="1" t="s">
        <v>65</v>
      </c>
      <c r="C1" s="1" t="s">
        <v>67</v>
      </c>
      <c r="D1" s="1" t="s">
        <v>188</v>
      </c>
    </row>
    <row r="2">
      <c r="A2" s="9">
        <v>0.2</v>
      </c>
      <c r="B2" s="9">
        <v>3.9</v>
      </c>
      <c r="C2" s="10" t="str">
        <f t="shared" ref="C2:C62" si="1">TEXT(A2/86400,"m:ss")</f>
        <v>0:00</v>
      </c>
      <c r="D2" s="10" t="s">
        <v>189</v>
      </c>
    </row>
    <row r="3">
      <c r="A3" s="9">
        <v>3.9</v>
      </c>
      <c r="B3" s="9">
        <v>6.0</v>
      </c>
      <c r="C3" s="10" t="str">
        <f t="shared" si="1"/>
        <v>0:04</v>
      </c>
      <c r="D3" s="10" t="s">
        <v>190</v>
      </c>
    </row>
    <row r="4">
      <c r="A4" s="9">
        <v>6.5</v>
      </c>
      <c r="B4" s="9">
        <v>8.4</v>
      </c>
      <c r="C4" s="10" t="str">
        <f t="shared" si="1"/>
        <v>0:07</v>
      </c>
      <c r="D4" s="10" t="s">
        <v>191</v>
      </c>
    </row>
    <row r="5">
      <c r="A5" s="9">
        <v>9.0</v>
      </c>
      <c r="B5" s="9">
        <v>11.8</v>
      </c>
      <c r="C5" s="10" t="str">
        <f t="shared" si="1"/>
        <v>0:09</v>
      </c>
      <c r="D5" s="10" t="s">
        <v>192</v>
      </c>
    </row>
    <row r="6">
      <c r="A6" s="9">
        <v>12.6</v>
      </c>
      <c r="B6" s="9">
        <v>15.5</v>
      </c>
      <c r="C6" s="10" t="str">
        <f t="shared" si="1"/>
        <v>0:13</v>
      </c>
      <c r="D6" s="10" t="s">
        <v>193</v>
      </c>
    </row>
    <row r="7">
      <c r="A7" s="9">
        <v>15.5</v>
      </c>
      <c r="B7" s="9">
        <v>18.1</v>
      </c>
      <c r="C7" s="10" t="str">
        <f t="shared" si="1"/>
        <v>0:16</v>
      </c>
      <c r="D7" s="10" t="s">
        <v>194</v>
      </c>
    </row>
    <row r="8">
      <c r="A8" s="9">
        <v>18.2</v>
      </c>
      <c r="B8" s="9">
        <v>21.4</v>
      </c>
      <c r="C8" s="10" t="str">
        <f t="shared" si="1"/>
        <v>0:18</v>
      </c>
      <c r="D8" s="10" t="s">
        <v>195</v>
      </c>
    </row>
    <row r="9">
      <c r="A9" s="9">
        <v>21.4</v>
      </c>
      <c r="B9" s="9">
        <v>22.3</v>
      </c>
      <c r="C9" s="10" t="str">
        <f t="shared" si="1"/>
        <v>0:21</v>
      </c>
      <c r="D9" s="10" t="s">
        <v>196</v>
      </c>
    </row>
    <row r="10">
      <c r="A10" s="9">
        <v>23.0</v>
      </c>
      <c r="B10" s="9">
        <v>26.5</v>
      </c>
      <c r="C10" s="10" t="str">
        <f t="shared" si="1"/>
        <v>0:23</v>
      </c>
      <c r="D10" s="10" t="s">
        <v>197</v>
      </c>
    </row>
    <row r="11">
      <c r="A11" s="9">
        <v>26.5</v>
      </c>
      <c r="B11" s="9">
        <v>27.5</v>
      </c>
      <c r="C11" s="10" t="str">
        <f t="shared" si="1"/>
        <v>0:27</v>
      </c>
      <c r="D11" s="10" t="s">
        <v>198</v>
      </c>
    </row>
    <row r="12">
      <c r="A12" s="9">
        <v>28.2</v>
      </c>
      <c r="B12" s="9">
        <v>32.3</v>
      </c>
      <c r="C12" s="10" t="str">
        <f t="shared" si="1"/>
        <v>0:28</v>
      </c>
      <c r="D12" s="10" t="s">
        <v>199</v>
      </c>
    </row>
    <row r="13">
      <c r="A13" s="9">
        <v>32.3</v>
      </c>
      <c r="B13" s="9">
        <v>33.8</v>
      </c>
      <c r="C13" s="10" t="str">
        <f t="shared" si="1"/>
        <v>0:32</v>
      </c>
      <c r="D13" s="10" t="s">
        <v>200</v>
      </c>
    </row>
    <row r="14">
      <c r="A14" s="9">
        <v>34.3</v>
      </c>
      <c r="B14" s="9">
        <v>37.0</v>
      </c>
      <c r="C14" s="10" t="str">
        <f t="shared" si="1"/>
        <v>0:34</v>
      </c>
      <c r="D14" s="10" t="s">
        <v>201</v>
      </c>
    </row>
    <row r="15">
      <c r="A15" s="9">
        <v>37.4</v>
      </c>
      <c r="B15" s="9">
        <v>41.2</v>
      </c>
      <c r="C15" s="10" t="str">
        <f t="shared" si="1"/>
        <v>0:37</v>
      </c>
      <c r="D15" s="10" t="s">
        <v>202</v>
      </c>
    </row>
    <row r="16">
      <c r="A16" s="9">
        <v>41.2</v>
      </c>
      <c r="B16" s="9">
        <v>41.9</v>
      </c>
      <c r="C16" s="10" t="str">
        <f t="shared" si="1"/>
        <v>0:41</v>
      </c>
      <c r="D16" s="10" t="s">
        <v>203</v>
      </c>
    </row>
    <row r="17">
      <c r="A17" s="9">
        <v>41.9</v>
      </c>
      <c r="B17" s="9">
        <v>42.8</v>
      </c>
      <c r="C17" s="10" t="str">
        <f t="shared" si="1"/>
        <v>0:42</v>
      </c>
      <c r="D17" s="10" t="s">
        <v>204</v>
      </c>
    </row>
    <row r="18">
      <c r="A18" s="9">
        <v>43.5</v>
      </c>
      <c r="B18" s="9">
        <v>47.1</v>
      </c>
      <c r="C18" s="10" t="str">
        <f t="shared" si="1"/>
        <v>0:44</v>
      </c>
      <c r="D18" s="10" t="s">
        <v>205</v>
      </c>
    </row>
    <row r="19">
      <c r="A19" s="9">
        <v>47.8</v>
      </c>
      <c r="B19" s="9">
        <v>50.9</v>
      </c>
      <c r="C19" s="10" t="str">
        <f t="shared" si="1"/>
        <v>0:48</v>
      </c>
      <c r="D19" s="10" t="s">
        <v>206</v>
      </c>
    </row>
    <row r="20">
      <c r="A20" s="9">
        <v>50.9</v>
      </c>
      <c r="B20" s="9">
        <v>51.2</v>
      </c>
      <c r="C20" s="10" t="str">
        <f t="shared" si="1"/>
        <v>0:51</v>
      </c>
      <c r="D20" s="10" t="s">
        <v>207</v>
      </c>
    </row>
    <row r="21" ht="15.75" customHeight="1">
      <c r="A21" s="9">
        <v>51.9</v>
      </c>
      <c r="B21" s="9">
        <v>53.6</v>
      </c>
      <c r="C21" s="10" t="str">
        <f t="shared" si="1"/>
        <v>0:52</v>
      </c>
      <c r="D21" s="10" t="s">
        <v>208</v>
      </c>
    </row>
    <row r="22" ht="15.75" customHeight="1">
      <c r="A22" s="9">
        <v>54.2</v>
      </c>
      <c r="B22" s="9">
        <v>56.3</v>
      </c>
      <c r="C22" s="10" t="str">
        <f t="shared" si="1"/>
        <v>0:54</v>
      </c>
      <c r="D22" s="10" t="s">
        <v>209</v>
      </c>
    </row>
    <row r="23" ht="15.75" customHeight="1">
      <c r="A23" s="9">
        <v>57.0</v>
      </c>
      <c r="B23" s="9">
        <v>60.2</v>
      </c>
      <c r="C23" s="10" t="str">
        <f t="shared" si="1"/>
        <v>0:57</v>
      </c>
      <c r="D23" s="10" t="s">
        <v>210</v>
      </c>
    </row>
    <row r="24" ht="15.75" customHeight="1">
      <c r="A24" s="9">
        <v>60.8</v>
      </c>
      <c r="B24" s="9">
        <v>63.7</v>
      </c>
      <c r="C24" s="10" t="str">
        <f t="shared" si="1"/>
        <v>1:01</v>
      </c>
      <c r="D24" s="10" t="s">
        <v>211</v>
      </c>
    </row>
    <row r="25" ht="15.75" customHeight="1">
      <c r="A25" s="9">
        <v>63.7</v>
      </c>
      <c r="B25" s="9">
        <v>64.1</v>
      </c>
      <c r="C25" s="10" t="str">
        <f t="shared" si="1"/>
        <v>1:04</v>
      </c>
      <c r="D25" s="10" t="s">
        <v>212</v>
      </c>
    </row>
    <row r="26" ht="15.75" customHeight="1">
      <c r="A26" s="9">
        <v>64.7</v>
      </c>
      <c r="B26" s="9">
        <v>67.2</v>
      </c>
      <c r="C26" s="10" t="str">
        <f t="shared" si="1"/>
        <v>1:05</v>
      </c>
      <c r="D26" s="10" t="s">
        <v>213</v>
      </c>
    </row>
    <row r="27" ht="15.75" customHeight="1">
      <c r="A27" s="9">
        <v>68.2</v>
      </c>
      <c r="B27" s="9">
        <v>69.4</v>
      </c>
      <c r="C27" s="10" t="str">
        <f t="shared" si="1"/>
        <v>1:08</v>
      </c>
      <c r="D27" s="10" t="s">
        <v>214</v>
      </c>
    </row>
    <row r="28" ht="15.75" customHeight="1">
      <c r="A28" s="9">
        <v>70.0</v>
      </c>
      <c r="B28" s="9">
        <v>73.6</v>
      </c>
      <c r="C28" s="10" t="str">
        <f t="shared" si="1"/>
        <v>1:10</v>
      </c>
      <c r="D28" s="10" t="s">
        <v>215</v>
      </c>
    </row>
    <row r="29" ht="15.75" customHeight="1">
      <c r="A29" s="9">
        <v>73.6</v>
      </c>
      <c r="B29" s="9">
        <v>74.9</v>
      </c>
      <c r="C29" s="10" t="str">
        <f t="shared" si="1"/>
        <v>1:14</v>
      </c>
      <c r="D29" s="10" t="s">
        <v>216</v>
      </c>
    </row>
    <row r="30" ht="15.75" customHeight="1">
      <c r="A30" s="9">
        <v>74.9</v>
      </c>
      <c r="B30" s="9">
        <v>76.5</v>
      </c>
      <c r="C30" s="10" t="str">
        <f t="shared" si="1"/>
        <v>1:15</v>
      </c>
      <c r="D30" s="10" t="s">
        <v>217</v>
      </c>
    </row>
    <row r="31" ht="15.75" customHeight="1">
      <c r="A31" s="9">
        <v>77.4</v>
      </c>
      <c r="B31" s="9">
        <v>78.7</v>
      </c>
      <c r="C31" s="10" t="str">
        <f t="shared" si="1"/>
        <v>1:17</v>
      </c>
      <c r="D31" s="10" t="s">
        <v>218</v>
      </c>
    </row>
    <row r="32" ht="15.75" customHeight="1">
      <c r="A32" s="9">
        <v>79.5</v>
      </c>
      <c r="B32" s="9">
        <v>81.0</v>
      </c>
      <c r="C32" s="10" t="str">
        <f t="shared" si="1"/>
        <v>1:20</v>
      </c>
      <c r="D32" s="10" t="s">
        <v>219</v>
      </c>
    </row>
    <row r="33" ht="15.75" customHeight="1">
      <c r="A33" s="9">
        <v>81.6</v>
      </c>
      <c r="B33" s="9">
        <v>84.5</v>
      </c>
      <c r="C33" s="10" t="str">
        <f t="shared" si="1"/>
        <v>1:22</v>
      </c>
      <c r="D33" s="10" t="s">
        <v>220</v>
      </c>
    </row>
    <row r="34" ht="15.75" customHeight="1">
      <c r="A34" s="9">
        <v>84.5</v>
      </c>
      <c r="B34" s="9">
        <v>85.0</v>
      </c>
      <c r="C34" s="10" t="str">
        <f t="shared" si="1"/>
        <v>1:25</v>
      </c>
      <c r="D34" s="10" t="s">
        <v>221</v>
      </c>
    </row>
    <row r="35" ht="15.75" customHeight="1">
      <c r="A35" s="9">
        <v>86.0</v>
      </c>
      <c r="B35" s="9">
        <v>86.8</v>
      </c>
      <c r="C35" s="10" t="str">
        <f t="shared" si="1"/>
        <v>1:26</v>
      </c>
      <c r="D35" s="10" t="s">
        <v>222</v>
      </c>
    </row>
    <row r="36" ht="15.75" customHeight="1">
      <c r="A36" s="9">
        <v>87.3</v>
      </c>
      <c r="B36" s="9">
        <v>91.0</v>
      </c>
      <c r="C36" s="10" t="str">
        <f t="shared" si="1"/>
        <v>1:27</v>
      </c>
      <c r="D36" s="10" t="s">
        <v>223</v>
      </c>
    </row>
    <row r="37" ht="15.75" customHeight="1">
      <c r="A37" s="9">
        <v>91.0</v>
      </c>
      <c r="B37" s="9">
        <v>91.7</v>
      </c>
      <c r="C37" s="10" t="str">
        <f t="shared" si="1"/>
        <v>1:31</v>
      </c>
      <c r="D37" s="10" t="s">
        <v>224</v>
      </c>
    </row>
    <row r="38" ht="15.75" customHeight="1">
      <c r="A38" s="9">
        <v>92.3</v>
      </c>
      <c r="B38" s="9">
        <v>94.1</v>
      </c>
      <c r="C38" s="10" t="str">
        <f t="shared" si="1"/>
        <v>1:32</v>
      </c>
      <c r="D38" s="10" t="s">
        <v>225</v>
      </c>
    </row>
    <row r="39" ht="15.75" customHeight="1">
      <c r="A39" s="9">
        <v>94.8</v>
      </c>
      <c r="B39" s="9">
        <v>99.0</v>
      </c>
      <c r="C39" s="10" t="str">
        <f t="shared" si="1"/>
        <v>1:35</v>
      </c>
      <c r="D39" s="10" t="s">
        <v>226</v>
      </c>
    </row>
    <row r="40" ht="15.75" customHeight="1">
      <c r="A40" s="9">
        <v>99.0</v>
      </c>
      <c r="B40" s="9">
        <v>100.8</v>
      </c>
      <c r="C40" s="10" t="str">
        <f t="shared" si="1"/>
        <v>1:39</v>
      </c>
      <c r="D40" s="10" t="s">
        <v>227</v>
      </c>
    </row>
    <row r="41" ht="15.75" customHeight="1">
      <c r="A41" s="9">
        <v>100.8</v>
      </c>
      <c r="B41" s="9">
        <v>104.2</v>
      </c>
      <c r="C41" s="10" t="str">
        <f t="shared" si="1"/>
        <v>1:41</v>
      </c>
      <c r="D41" s="10" t="s">
        <v>228</v>
      </c>
    </row>
    <row r="42" ht="15.75" customHeight="1">
      <c r="A42" s="9">
        <v>104.2</v>
      </c>
      <c r="B42" s="9">
        <v>105.2</v>
      </c>
      <c r="C42" s="10" t="str">
        <f t="shared" si="1"/>
        <v>1:44</v>
      </c>
      <c r="D42" s="10" t="s">
        <v>229</v>
      </c>
    </row>
    <row r="43" ht="15.75" customHeight="1">
      <c r="A43" s="9">
        <v>105.9</v>
      </c>
      <c r="B43" s="9">
        <v>108.9</v>
      </c>
      <c r="C43" s="10" t="str">
        <f t="shared" si="1"/>
        <v>1:46</v>
      </c>
      <c r="D43" s="10" t="s">
        <v>230</v>
      </c>
    </row>
    <row r="44" ht="15.75" customHeight="1">
      <c r="A44" s="9">
        <v>109.7</v>
      </c>
      <c r="B44" s="9">
        <v>112.9</v>
      </c>
      <c r="C44" s="10" t="str">
        <f t="shared" si="1"/>
        <v>1:50</v>
      </c>
      <c r="D44" s="10" t="s">
        <v>231</v>
      </c>
    </row>
    <row r="45" ht="15.75" customHeight="1">
      <c r="A45" s="9">
        <v>113.9</v>
      </c>
      <c r="B45" s="9">
        <v>117.3</v>
      </c>
      <c r="C45" s="10" t="str">
        <f t="shared" si="1"/>
        <v>1:54</v>
      </c>
      <c r="D45" s="10" t="s">
        <v>232</v>
      </c>
    </row>
    <row r="46" ht="15.75" customHeight="1">
      <c r="A46" s="9">
        <v>117.3</v>
      </c>
      <c r="B46" s="9">
        <v>117.8</v>
      </c>
      <c r="C46" s="10" t="str">
        <f t="shared" si="1"/>
        <v>1:57</v>
      </c>
      <c r="D46" s="10" t="s">
        <v>233</v>
      </c>
    </row>
    <row r="47" ht="15.75" customHeight="1">
      <c r="A47" s="9">
        <v>118.5</v>
      </c>
      <c r="B47" s="9">
        <v>121.6</v>
      </c>
      <c r="C47" s="10" t="str">
        <f t="shared" si="1"/>
        <v>1:59</v>
      </c>
      <c r="D47" s="10" t="s">
        <v>234</v>
      </c>
    </row>
    <row r="48" ht="15.75" customHeight="1">
      <c r="A48" s="9">
        <v>122.2</v>
      </c>
      <c r="B48" s="9">
        <v>124.1</v>
      </c>
      <c r="C48" s="10" t="str">
        <f t="shared" si="1"/>
        <v>2:02</v>
      </c>
      <c r="D48" s="10" t="s">
        <v>235</v>
      </c>
    </row>
    <row r="49" ht="15.75" customHeight="1">
      <c r="A49" s="9">
        <v>124.6</v>
      </c>
      <c r="B49" s="9">
        <v>127.8</v>
      </c>
      <c r="C49" s="10" t="str">
        <f t="shared" si="1"/>
        <v>2:05</v>
      </c>
      <c r="D49" s="10" t="s">
        <v>236</v>
      </c>
    </row>
    <row r="50" ht="15.75" customHeight="1">
      <c r="A50" s="9">
        <v>128.3</v>
      </c>
      <c r="B50" s="9">
        <v>129.3</v>
      </c>
      <c r="C50" s="10" t="str">
        <f t="shared" si="1"/>
        <v>2:08</v>
      </c>
      <c r="D50" s="10" t="s">
        <v>237</v>
      </c>
    </row>
    <row r="51" ht="15.75" customHeight="1">
      <c r="A51" s="9">
        <v>130.0</v>
      </c>
      <c r="B51" s="9">
        <v>130.8</v>
      </c>
      <c r="C51" s="10" t="str">
        <f t="shared" si="1"/>
        <v>2:10</v>
      </c>
      <c r="D51" s="10" t="s">
        <v>238</v>
      </c>
    </row>
    <row r="52" ht="15.75" customHeight="1">
      <c r="A52" s="9">
        <v>131.4</v>
      </c>
      <c r="B52" s="9">
        <v>134.2</v>
      </c>
      <c r="C52" s="10" t="str">
        <f t="shared" si="1"/>
        <v>2:11</v>
      </c>
      <c r="D52" s="10" t="s">
        <v>239</v>
      </c>
    </row>
    <row r="53" ht="15.75" customHeight="1">
      <c r="A53" s="9">
        <v>135.1</v>
      </c>
      <c r="B53" s="9">
        <v>135.6</v>
      </c>
      <c r="C53" s="10" t="str">
        <f t="shared" si="1"/>
        <v>2:15</v>
      </c>
      <c r="D53" s="10" t="s">
        <v>240</v>
      </c>
    </row>
    <row r="54" ht="15.75" customHeight="1">
      <c r="A54" s="9">
        <v>136.2</v>
      </c>
      <c r="B54" s="9">
        <v>138.1</v>
      </c>
      <c r="C54" s="10" t="str">
        <f t="shared" si="1"/>
        <v>2:16</v>
      </c>
      <c r="D54" s="10" t="s">
        <v>241</v>
      </c>
    </row>
    <row r="55" ht="15.75" customHeight="1">
      <c r="A55" s="9">
        <v>138.6</v>
      </c>
      <c r="B55" s="9">
        <v>140.1</v>
      </c>
      <c r="C55" s="10" t="str">
        <f t="shared" si="1"/>
        <v>2:19</v>
      </c>
      <c r="D55" s="10" t="s">
        <v>242</v>
      </c>
    </row>
    <row r="56" ht="15.75" customHeight="1">
      <c r="A56" s="9">
        <v>140.7</v>
      </c>
      <c r="B56" s="9">
        <v>143.8</v>
      </c>
      <c r="C56" s="10" t="str">
        <f t="shared" si="1"/>
        <v>2:21</v>
      </c>
      <c r="D56" s="10" t="s">
        <v>243</v>
      </c>
    </row>
    <row r="57" ht="15.75" customHeight="1">
      <c r="A57" s="9">
        <v>144.4</v>
      </c>
      <c r="B57" s="9">
        <v>146.6</v>
      </c>
      <c r="C57" s="10" t="str">
        <f t="shared" si="1"/>
        <v>2:24</v>
      </c>
      <c r="D57" s="10" t="s">
        <v>244</v>
      </c>
    </row>
    <row r="58" ht="15.75" customHeight="1">
      <c r="A58" s="9">
        <v>147.1</v>
      </c>
      <c r="B58" s="9">
        <v>150.1</v>
      </c>
      <c r="C58" s="10" t="str">
        <f t="shared" si="1"/>
        <v>2:27</v>
      </c>
      <c r="D58" s="10" t="s">
        <v>245</v>
      </c>
    </row>
    <row r="59" ht="15.75" customHeight="1">
      <c r="A59" s="9">
        <v>151.0</v>
      </c>
      <c r="B59" s="9">
        <v>152.4</v>
      </c>
      <c r="C59" s="10" t="str">
        <f t="shared" si="1"/>
        <v>2:31</v>
      </c>
      <c r="D59" s="10" t="s">
        <v>246</v>
      </c>
    </row>
    <row r="60" ht="15.75" customHeight="1">
      <c r="A60" s="9">
        <v>152.8</v>
      </c>
      <c r="B60" s="9">
        <v>156.0</v>
      </c>
      <c r="C60" s="10" t="str">
        <f t="shared" si="1"/>
        <v>2:33</v>
      </c>
      <c r="D60" s="10" t="s">
        <v>247</v>
      </c>
    </row>
    <row r="61" ht="15.75" customHeight="1">
      <c r="A61" s="9">
        <v>156.0</v>
      </c>
      <c r="B61" s="9">
        <v>156.8</v>
      </c>
      <c r="C61" s="10" t="str">
        <f t="shared" si="1"/>
        <v>2:36</v>
      </c>
      <c r="D61" s="10" t="s">
        <v>248</v>
      </c>
    </row>
    <row r="62" ht="15.75" customHeight="1">
      <c r="A62" s="9">
        <v>156.9</v>
      </c>
      <c r="B62" s="9">
        <v>157.3</v>
      </c>
      <c r="C62" s="10" t="str">
        <f t="shared" si="1"/>
        <v>2:37</v>
      </c>
      <c r="D62" s="10" t="s">
        <v>249</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0"/>
    <col customWidth="1" min="2" max="2" width="100.0"/>
    <col customWidth="1" min="3" max="11" width="8.71"/>
  </cols>
  <sheetData>
    <row r="1">
      <c r="A1" s="11" t="s">
        <v>250</v>
      </c>
    </row>
    <row r="3" ht="48.0" customHeight="1">
      <c r="A3" s="12" t="s">
        <v>251</v>
      </c>
      <c r="B3" s="13" t="s">
        <v>252</v>
      </c>
    </row>
    <row r="4" ht="48.0" customHeight="1">
      <c r="A4" s="12" t="s">
        <v>253</v>
      </c>
      <c r="B4" s="13" t="s">
        <v>254</v>
      </c>
    </row>
    <row r="5" ht="48.0" customHeight="1">
      <c r="A5" s="12" t="s">
        <v>255</v>
      </c>
      <c r="B5" s="13" t="s">
        <v>256</v>
      </c>
    </row>
    <row r="7">
      <c r="A7" s="7" t="s">
        <v>257</v>
      </c>
      <c r="B7" s="14">
        <v>157.67</v>
      </c>
    </row>
    <row r="9">
      <c r="A9" s="7" t="s">
        <v>258</v>
      </c>
    </row>
    <row r="10">
      <c r="A10" s="15" t="s">
        <v>259</v>
      </c>
      <c r="B10" s="16" t="str">
        <f>COUNTA(Tomas!A2:A30)</f>
        <v>29</v>
      </c>
    </row>
    <row r="11">
      <c r="A11" s="15" t="s">
        <v>260</v>
      </c>
      <c r="B11" s="16" t="str">
        <f>COUNTIF(Tomas!H2:H30,"Reutilizar")</f>
        <v>13</v>
      </c>
    </row>
    <row r="12">
      <c r="A12" s="15" t="s">
        <v>261</v>
      </c>
      <c r="B12" s="16" t="str">
        <f>COUNTA('Por generar'!B2:B17)</f>
        <v>16</v>
      </c>
    </row>
    <row r="13">
      <c r="A13" s="15" t="s">
        <v>262</v>
      </c>
      <c r="B13" s="16" t="str">
        <f>COUNTIF('Por generar'!C2:C17,"Nueva animada")</f>
        <v>9</v>
      </c>
    </row>
    <row r="14">
      <c r="A14" s="15" t="s">
        <v>263</v>
      </c>
      <c r="B14" s="16" t="str">
        <f>COUNTIF('Por generar'!C2:C17,"Nueva fija")</f>
        <v>7</v>
      </c>
    </row>
    <row r="15">
      <c r="A15" s="15" t="s">
        <v>264</v>
      </c>
      <c r="B15" s="17" t="str">
        <f>Tomas!D31</f>
        <v>157.7</v>
      </c>
    </row>
    <row r="16">
      <c r="A16" s="15" t="s">
        <v>265</v>
      </c>
      <c r="B16" s="17" t="str">
        <f>ROUND(B15-B7,1)</f>
        <v>0.0</v>
      </c>
    </row>
    <row r="17">
      <c r="A17" s="15" t="s">
        <v>266</v>
      </c>
      <c r="B17" s="16" t="str">
        <f>COUNTIF('Por generar'!H2:H17,"Lista")</f>
        <v>1</v>
      </c>
    </row>
    <row r="18">
      <c r="A18" s="15" t="s">
        <v>267</v>
      </c>
      <c r="B18" s="16" t="str">
        <f>COUNTIF('Por generar'!I2:I17,"Lista")</f>
        <v>0</v>
      </c>
    </row>
    <row r="20">
      <c r="A20" s="7" t="s">
        <v>268</v>
      </c>
    </row>
    <row r="21" ht="31.5" customHeight="1">
      <c r="A21" s="13" t="s">
        <v>269</v>
      </c>
    </row>
    <row r="22" ht="31.5" customHeight="1">
      <c r="A22" s="13" t="s">
        <v>270</v>
      </c>
    </row>
    <row r="23" ht="31.5" customHeight="1">
      <c r="A23" s="13" t="s">
        <v>271</v>
      </c>
    </row>
    <row r="24" ht="31.5" customHeight="1">
      <c r="A24" s="13" t="s">
        <v>272</v>
      </c>
    </row>
    <row r="25" ht="31.5" customHeight="1">
      <c r="A25" s="13" t="s">
        <v>273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5">
    <mergeCell ref="A21:B21"/>
    <mergeCell ref="A22:B22"/>
    <mergeCell ref="A23:B23"/>
    <mergeCell ref="A24:B24"/>
    <mergeCell ref="A25:B25"/>
  </mergeCells>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2026-09-29T16:52:31Z</dcterms:created>
  <dc:creator>openpyxl</dc:creator>
  <dc:description/>
  <dc:language>en-US</dc:language>
  <cp:lastModifiedBy/>
  <dcterms:modified xsi:type="dcterms:W3CDTF">2026-09-29T16:52:31Z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